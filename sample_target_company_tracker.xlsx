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Tracker" sheetId="1" state="visible" r:id="rId3"/>
    <sheet name="Job Posting Quick Links" sheetId="2" state="visible" r:id="rId4"/>
    <sheet name="Industry Events &amp; Forums" sheetId="3" state="visible" r:id="rId5"/>
    <sheet name="Company Activity &amp; Events" sheetId="4" state="visible" r:id="rId6"/>
    <sheet name="Notes &amp; Assumptions" sheetId="5" state="visible" r:id="rId7"/>
    <sheet name="Summary" sheetId="6" state="visible" r:id="rId8"/>
  </sheets>
  <definedNames>
    <definedName function="false" hidden="true" localSheetId="3" name="_xlnm._FilterDatabase" vbProcedure="false">'Company Activity &amp; Events'!$A$1:$E$6</definedName>
    <definedName function="false" hidden="true" localSheetId="0" name="_xlnm._FilterDatabase" vbProcedure="false">'Company Tracker'!$A$1:$AI$6</definedName>
    <definedName function="false" hidden="true" localSheetId="2" name="_xlnm._FilterDatabase" vbProcedure="false">'Industry Events &amp; Forums'!$A$1:$F$3</definedName>
    <definedName function="false" hidden="true" localSheetId="1" name="_xlnm._FilterDatabase" vbProcedure="false">'Job Posting Quick Links'!$A$1:$E$6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A1" authorId="0">
      <text>
        <r>
          <rPr>
            <sz val="10"/>
            <rFont val="Arial"/>
            <family val="2"/>
          </rPr>
          <t xml:space="preserve">Mechanical starting point: (Opportunity Fit points x 2) + (Opportunity Relevance points x 2) + average(Growth/Revenue Signal, Hiring Signal, Recent Hiring Trends points). Very High=5, High=4, Medium-High=3.5, Medium=3, Low-Medium=2, Low=1. Not a replacement for your own judgment -- compare against your own Priority Score.</t>
        </r>
      </text>
    </comment>
  </commentList>
</comments>
</file>

<file path=xl/sharedStrings.xml><?xml version="1.0" encoding="utf-8"?>
<sst xmlns="http://schemas.openxmlformats.org/spreadsheetml/2006/main" count="292" uniqueCount="218">
  <si>
    <t xml:space="preserve">Company</t>
  </si>
  <si>
    <t xml:space="preserve">Website</t>
  </si>
  <si>
    <t xml:space="preserve">Industry / Sector</t>
  </si>
  <si>
    <t xml:space="preserve">Industry Emphasized</t>
  </si>
  <si>
    <t xml:space="preserve">NAICS Code</t>
  </si>
  <si>
    <t xml:space="preserve">NAICS Code Type</t>
  </si>
  <si>
    <t xml:space="preserve">Why This NAICS Code</t>
  </si>
  <si>
    <t xml:space="preserve">HQ Location / Footprint</t>
  </si>
  <si>
    <t xml:space="preserve">Company Size</t>
  </si>
  <si>
    <t xml:space="preserve">Revenue Band / Latest Revenue</t>
  </si>
  <si>
    <t xml:space="preserve">Growth / Revenue Signal</t>
  </si>
  <si>
    <t xml:space="preserve">Hiring Signal</t>
  </si>
  <si>
    <t xml:space="preserve">Recent Hiring Trends</t>
  </si>
  <si>
    <t xml:space="preserve">Opportunity Relevance</t>
  </si>
  <si>
    <t xml:space="preserve">Opportunity Fit</t>
  </si>
  <si>
    <t xml:space="preserve">Category</t>
  </si>
  <si>
    <t xml:space="preserve">Why This Fits</t>
  </si>
  <si>
    <t xml:space="preserve">Executive Role Fit</t>
  </si>
  <si>
    <t xml:space="preserve">Warm Introduction Path</t>
  </si>
  <si>
    <t xml:space="preserve">Outreach Approach</t>
  </si>
  <si>
    <t xml:space="preserve">Key Contacts / Priority Titles</t>
  </si>
  <si>
    <t xml:space="preserve">Compensation Benchmark</t>
  </si>
  <si>
    <t xml:space="preserve">Suggested Search Keywords</t>
  </si>
  <si>
    <t xml:space="preserve">Suggested Job Title Keywords</t>
  </si>
  <si>
    <t xml:space="preserve">Source URL</t>
  </si>
  <si>
    <t xml:space="preserve">Priority Score</t>
  </si>
  <si>
    <t xml:space="preserve">Suggested Priority Rank (1-25)</t>
  </si>
  <si>
    <t xml:space="preserve">Status</t>
  </si>
  <si>
    <t xml:space="preserve">Next Action</t>
  </si>
  <si>
    <t xml:space="preserve">Date Researched</t>
  </si>
  <si>
    <t xml:space="preserve">Ownership Type</t>
  </si>
  <si>
    <t xml:space="preserve">Recent M&amp;A Activity</t>
  </si>
  <si>
    <t xml:space="preserve">Signals</t>
  </si>
  <si>
    <t xml:space="preserve">Estimated Deal Size Fit</t>
  </si>
  <si>
    <t xml:space="preserve">M&amp;A Role Fit</t>
  </si>
  <si>
    <t xml:space="preserve">Dragos, Inc.</t>
  </si>
  <si>
    <t xml:space="preserve">https://www.dragos.com</t>
  </si>
  <si>
    <t xml:space="preserve">Cybersecurity Software</t>
  </si>
  <si>
    <t xml:space="preserve">OT/ICS threat detection and asset visibility platform for critical infrastructure (electric, oil &amp; gas, manufacturing, water)</t>
  </si>
  <si>
    <t xml:space="preserve">5415</t>
  </si>
  <si>
    <t xml:space="preserve">Primary</t>
  </si>
  <si>
    <t xml:space="preserve">Core business is OT/ICS cybersecurity software and services -- Computer Systems Design and Related Services</t>
  </si>
  <si>
    <t xml:space="preserve">Hanover, MD (Baltimore-Washington DC area); global -- offices in North America, EMEA, APAC</t>
  </si>
  <si>
    <t xml:space="preserve">500-1,000 employees (sources vary 500-670 as of mid-2026)</t>
  </si>
  <si>
    <t xml:space="preserve">~$154M ARR (2024 estimate, third-party data)</t>
  </si>
  <si>
    <t xml:space="preserve">High</t>
  </si>
  <si>
    <t xml:space="preserve">Medium-High</t>
  </si>
  <si>
    <t xml:space="preserve">Not verified in this pass -- check LinkedIn Jobs/Indeed/dragos.com/careers for current postings</t>
  </si>
  <si>
    <t xml:space="preserve">Actively Expanding / M&amp;A Integration</t>
  </si>
  <si>
    <t xml:space="preserve">Recent acquisitions of NetRise and RunZero (2026) create a natural need for unified brand messaging across newly combined product lines</t>
  </si>
  <si>
    <t xml:space="preserve">CMO / VP Marketing</t>
  </si>
  <si>
    <t xml:space="preserve">Industry conference circuit (S4, SANS ICS Summit) given CEO Robert M. Lee's high visibility in the ICS security community</t>
  </si>
  <si>
    <t xml:space="preserve">Direct outreach referencing recent acquisition announcements as a timely marketing-support angle</t>
  </si>
  <si>
    <t xml:space="preserve">CEO &amp; Founder: Robert M. Lee (public). CMO/VP Marketing title not independently verified in this pass.</t>
  </si>
  <si>
    <t xml:space="preserve">N/A -- privately held, no 10-K/proxy filings</t>
  </si>
  <si>
    <t xml:space="preserve">Dragos marketing, Dragos brand, Dragos communications</t>
  </si>
  <si>
    <t xml:space="preserve">VP Marketing, Director of Communications, Head of Brand</t>
  </si>
  <si>
    <t xml:space="preserve">https://pitchbook.com/profiles/company/120194-29</t>
  </si>
  <si>
    <t xml:space="preserve">July 24, 2026</t>
  </si>
  <si>
    <t xml:space="preserve">Privately held; 2026 trade press reported a possible Accenture majority-stake investment (not independently confirmed here)</t>
  </si>
  <si>
    <t xml:space="preserve">Acquired NetRise and RunZero (2026)</t>
  </si>
  <si>
    <t xml:space="preserve">Active acquirer of point solutions; integrating multiple recent acquisitions</t>
  </si>
  <si>
    <t xml:space="preserve">N/A -- no confirmed evidence Dragos itself is currently for sale</t>
  </si>
  <si>
    <t xml:space="preserve">Likely Acquirer</t>
  </si>
  <si>
    <t xml:space="preserve">Claroty Ltd.</t>
  </si>
  <si>
    <t xml:space="preserve">https://claroty.com</t>
  </si>
  <si>
    <t xml:space="preserve">Cyber-physical systems (CPS) protection platform spanning OT, IoMT (healthcare), and IoT</t>
  </si>
  <si>
    <t xml:space="preserve">Core business is CPS/OT cybersecurity software -- Computer Systems Design and Related Services</t>
  </si>
  <si>
    <t xml:space="preserve">New York, NY; ~350 employees in Israel, remainder across US/Europe/APAC/LatAm</t>
  </si>
  <si>
    <t xml:space="preserve">500-1,000 employees (sources vary 500-850 as of mid-2026)</t>
  </si>
  <si>
    <t xml:space="preserve">Not fully disclosed; $3B valuation as of Jan 2026 Series F</t>
  </si>
  <si>
    <t xml:space="preserve">Very High</t>
  </si>
  <si>
    <t xml:space="preserve">Not verified in this pass -- check LinkedIn Jobs/Indeed/claroty.com/careers for current postings</t>
  </si>
  <si>
    <t xml:space="preserve">Actively Expanding / Recently Funded</t>
  </si>
  <si>
    <t xml:space="preserve">Fresh $150M Series F (Jan 2026) at a $3B valuation, plus new Gartner Magic Quadrant Leader recognition, create an ideal window for amplified brand/PR marketing support</t>
  </si>
  <si>
    <t xml:space="preserve">Investor network (Golub Growth, Bessemer Venture Partners, SoftBank Vision Fund 2) or industry conference circuit</t>
  </si>
  <si>
    <t xml:space="preserve">Reference the recent funding round and Gartner recognition as a natural marketing-momentum conversation starter</t>
  </si>
  <si>
    <t xml:space="preserve">CEO: Yaniv Vardi (public). Co-founders: Galina Antova, Amir Zilberstein, Benny Porat.</t>
  </si>
  <si>
    <t xml:space="preserve">Claroty marketing, Claroty brand, Claroty communications</t>
  </si>
  <si>
    <t xml:space="preserve">https://www.calcalistech.com/ctechnews/article/syuo0xklwe</t>
  </si>
  <si>
    <t xml:space="preserve">Privately held, VC-backed (Series F closed Jan 2026)</t>
  </si>
  <si>
    <t xml:space="preserve">None reported as acquisition target; no confirmed recent acquisitions by Claroty in this pass</t>
  </si>
  <si>
    <t xml:space="preserve">Fresh capital raise typically precedes increased marketing/brand investment</t>
  </si>
  <si>
    <t xml:space="preserve">N/A -- not currently signaling M&amp;A activity</t>
  </si>
  <si>
    <t xml:space="preserve">Unclear</t>
  </si>
  <si>
    <t xml:space="preserve">Nozomi Networks</t>
  </si>
  <si>
    <t xml:space="preserve">https://www.nozominetworks.com</t>
  </si>
  <si>
    <t xml:space="preserve">OT/IoT network monitoring and threat detection for critical infrastructure</t>
  </si>
  <si>
    <t xml:space="preserve">Core business is OT/IoT cybersecurity software -- Computer Systems Design and Related Services</t>
  </si>
  <si>
    <t xml:space="preserve">San Francisco, CA</t>
  </si>
  <si>
    <t xml:space="preserve">~375-390 employees (pre-acquisition figures, 2026)</t>
  </si>
  <si>
    <t xml:space="preserve">~$63.5M ARR (2025 estimate, third-party data)</t>
  </si>
  <si>
    <t xml:space="preserve">Medium</t>
  </si>
  <si>
    <t xml:space="preserve">Not verified in this pass -- check LinkedIn Jobs/Indeed/nozominetworks.com/careers for current postings</t>
  </si>
  <si>
    <t xml:space="preserve">Recently Acquired / Integration Phase</t>
  </si>
  <si>
    <t xml:space="preserve">Newly part of Mitsubishi Electric (acquisition announced ~Jan 29, 2026) -- marketing decisions are likely being redefined under new ownership; worth monitoring rather than immediate outreach</t>
  </si>
  <si>
    <t xml:space="preserve">CMO (at parent company level, post-integration)</t>
  </si>
  <si>
    <t xml:space="preserve">Not clearly identifiable pending integration into Mitsubishi Electric's structure</t>
  </si>
  <si>
    <t xml:space="preserve">Monitor for post-acquisition brand/marketing announcements before approaching</t>
  </si>
  <si>
    <t xml:space="preserve">Co-Founders: Moreno Carullo (CTO), Andrea Carcano (CPO). CEO name reported inconsistently across sources during 2026 transition -- verify current leadership before outreach.</t>
  </si>
  <si>
    <t xml:space="preserve">N/A -- privately held/subsidiary, no 10-K/proxy filings</t>
  </si>
  <si>
    <t xml:space="preserve">Nozomi Networks marketing, Nozomi Networks Mitsubishi integration</t>
  </si>
  <si>
    <t xml:space="preserve">Marketing Director, Brand Manager</t>
  </si>
  <si>
    <t xml:space="preserve">https://pitchbook.com/profiles/company/167488-48</t>
  </si>
  <si>
    <t xml:space="preserve">Subsidiary of Mitsubishi Electric (acquisition announced Jan 29, 2026)</t>
  </si>
  <si>
    <t xml:space="preserve">Acquired by Mitsubishi Electric (Jan 2026)</t>
  </si>
  <si>
    <t xml:space="preserve">Completed strategic acquisition by a major industrial conglomerate</t>
  </si>
  <si>
    <t xml:space="preserve">N/A -- acquisition already completed</t>
  </si>
  <si>
    <t xml:space="preserve">Recently Acquired (Target, completed)</t>
  </si>
  <si>
    <t xml:space="preserve">Forescout Technologies, Inc.</t>
  </si>
  <si>
    <t xml:space="preserve">https://www.forescout.com</t>
  </si>
  <si>
    <t xml:space="preserve">Agentless network security -- visibility and control for IT, IoT, IoMT, and OT devices</t>
  </si>
  <si>
    <t xml:space="preserve">Core business is network/device security software -- Computer Systems Design and Related Services</t>
  </si>
  <si>
    <t xml:space="preserve">San Jose, CA; operations in 12 countries including Canada, UK, Netherlands, India, Japan, Singapore, Israel, UAE</t>
  </si>
  <si>
    <t xml:space="preserve">~1,000-1,300 employees (sources vary by date/methodology, 2026)</t>
  </si>
  <si>
    <t xml:space="preserve">~$189M (third-party estimate, 2026)</t>
  </si>
  <si>
    <t xml:space="preserve">Not verified in this pass -- check LinkedIn Jobs/Indeed/forescout.com/careers for current postings</t>
  </si>
  <si>
    <t xml:space="preserve">Established / Leadership Refresh</t>
  </si>
  <si>
    <t xml:space="preserve">Mature, PE-backed company; recent CRO promotion and VP Product Marketing hire (Jan 2026) suggest a leadership refresh rather than hypergrowth -- moderate marketing-support opportunity</t>
  </si>
  <si>
    <t xml:space="preserve">VP Marketing / Director of Product Marketing</t>
  </si>
  <si>
    <t xml:space="preserve">Recently hired/promoted marketing leadership (Rob Amezcua - CRO, Joe Malenfant - VP Product Marketing) may be more open to new vendor conversations during onboarding</t>
  </si>
  <si>
    <t xml:space="preserve">Time outreach around the recent executive changes</t>
  </si>
  <si>
    <t xml:space="preserve">CEO: Barry Mainz (public). CRO: Rob Amezcua (per Jan 2026 announcement). VP Product Marketing: Joe Malenfant (per Jan 2026 announcement).</t>
  </si>
  <si>
    <t xml:space="preserve">N/A -- taken private in 2020 (Advent International / Crosspoint Capital Partners); no current 10-K/proxy filings</t>
  </si>
  <si>
    <t xml:space="preserve">Forescout marketing, Forescout brand, Forescout communications</t>
  </si>
  <si>
    <t xml:space="preserve">VP Marketing, Director of Product Marketing</t>
  </si>
  <si>
    <t xml:space="preserve">https://leadiq.com/c/forescout/5a1d8b202400002400662666</t>
  </si>
  <si>
    <t xml:space="preserve">Privately held, PE-backed (Advent International and Crosspoint Capital Partners, since 2020)</t>
  </si>
  <si>
    <t xml:space="preserve">None reported since 2020 take-private transaction</t>
  </si>
  <si>
    <t xml:space="preserve">Executive leadership changes (CRO, VP Product Marketing) in Jan 2026</t>
  </si>
  <si>
    <t xml:space="preserve">N/A -- no current indication of near-term exit activity</t>
  </si>
  <si>
    <t xml:space="preserve">PE-Backed / Possible Future Exit Candidate</t>
  </si>
  <si>
    <t xml:space="preserve">Armis, Inc.</t>
  </si>
  <si>
    <t xml:space="preserve">https://www.armis.com</t>
  </si>
  <si>
    <t xml:space="preserve">Cyber exposure management platform covering IT, OT, IoT, and medical device assets</t>
  </si>
  <si>
    <t xml:space="preserve">Core business is asset intelligence/cyber exposure management software -- Computer Systems Design and Related Services</t>
  </si>
  <si>
    <t xml:space="preserve">San Francisco / Palo Alto, CA; ~950 employees globally including a significant Israel presence</t>
  </si>
  <si>
    <t xml:space="preserve">~950 employees (2026, pre-acquisition)</t>
  </si>
  <si>
    <t xml:space="preserve">Surpassed $300M ARR in late 2025 (50%+ YoY growth reported)</t>
  </si>
  <si>
    <t xml:space="preserve">Not verified in this pass -- check LinkedIn Jobs/Indeed/armis.com/careers for current postings</t>
  </si>
  <si>
    <t xml:space="preserve">ServiceNow completed its ~$7.75B acquisition of Armis on April 20, 2026 (per ServiceNow's own 10-Q) -- marketing decisions are now likely being made at the ServiceNow parent-company level</t>
  </si>
  <si>
    <t xml:space="preserve">CMO (at ServiceNow parent level, post-integration)</t>
  </si>
  <si>
    <t xml:space="preserve">ServiceNow's security/GTM organization, rather than legacy Armis marketing contacts</t>
  </si>
  <si>
    <t xml:space="preserve">Monitor for ServiceNow's integration/rebranding announcements before approaching</t>
  </si>
  <si>
    <t xml:space="preserve">Co-Founder &amp; CEO (pre-acquisition): Yevgeny Dibrov. Co-Founder &amp; CTO: Nadir Izrael. Post-acquisition reporting lines not yet verified.</t>
  </si>
  <si>
    <t xml:space="preserve">N/A -- was privately held; now a wholly owned ServiceNow subsidiary post-acquisition, no separate public filings</t>
  </si>
  <si>
    <t xml:space="preserve">Armis marketing, Armis ServiceNow integration</t>
  </si>
  <si>
    <t xml:space="preserve">https://www.sec.gov/Archives/edgar/data/0001373715/000137371526000056/now-20260331.htm</t>
  </si>
  <si>
    <t xml:space="preserve">Wholly owned subsidiary of ServiceNow, Inc. (NYSE: NOW) -- acquisition closed April 20, 2026</t>
  </si>
  <si>
    <t xml:space="preserve">Acquired by ServiceNow for ~$7.75B cash (closed April 20, 2026, per ServiceNow Form 10-Q)</t>
  </si>
  <si>
    <t xml:space="preserve">Large strategic acquisition by a public company; funded via $4.0B term loan per ServiceNow's SEC filing</t>
  </si>
  <si>
    <t xml:space="preserve">Job Title Used for Search</t>
  </si>
  <si>
    <t xml:space="preserve">LinkedIn Jobs Search</t>
  </si>
  <si>
    <t xml:space="preserve">Indeed Search</t>
  </si>
  <si>
    <t xml:space="preserve">Google Jobs Search</t>
  </si>
  <si>
    <t xml:space="preserve">VP Marketing</t>
  </si>
  <si>
    <t xml:space="preserve">Marketing Director</t>
  </si>
  <si>
    <t xml:space="preserve">Important: this tab is a set of pre-built search links, nothing more. Each link opens LinkedIn, Indeed, or Google with the company name and a job title already typed into the search box -- the same as typing them in yourself. Clicking a link does not pull in, list, or embed any actual job postings, and nothing here is "jobs found" -- it's a shortcut to run that search live, whenever you click it.</t>
  </si>
  <si>
    <t xml:space="preserve">Event Name</t>
  </si>
  <si>
    <t xml:space="preserve">Date(s)</t>
  </si>
  <si>
    <t xml:space="preserve">Location</t>
  </si>
  <si>
    <t xml:space="preserve">Format</t>
  </si>
  <si>
    <t xml:space="preserve">Relevant To</t>
  </si>
  <si>
    <t xml:space="preserve">URL</t>
  </si>
  <si>
    <t xml:space="preserve">S4x27</t>
  </si>
  <si>
    <t xml:space="preserve">February 8-11, 2027</t>
  </si>
  <si>
    <t xml:space="preserve">Tampa, FL</t>
  </si>
  <si>
    <t xml:space="preserve">In-person</t>
  </si>
  <si>
    <t xml:space="preserve">Actively Expanding / M&amp;A Integration; Actively Expanding / Recently Funded</t>
  </si>
  <si>
    <t xml:space="preserve">https://s4xevents.com/</t>
  </si>
  <si>
    <t xml:space="preserve">Midwest OT Cybersecurity Summit (MOCS) 2027</t>
  </si>
  <si>
    <t xml:space="preserve">April 16, 2027</t>
  </si>
  <si>
    <t xml:space="preserve">Marquette University, Milwaukee, WI</t>
  </si>
  <si>
    <t xml:space="preserve">All categories -- regional, community-driven OT security event</t>
  </si>
  <si>
    <t xml:space="preserve">https://midwest-otcs.org/</t>
  </si>
  <si>
    <t xml:space="preserve">Only 2 events are listed here because those are the ones verified via search with a real, working URL and confirmed date at the time this sample was built. A live run of this prompt would search more broadly and may find additional real events -- report fewer events rather than padding the list with unverified ones.</t>
  </si>
  <si>
    <t xml:space="preserve">Recent LinkedIn Activity</t>
  </si>
  <si>
    <t xml:space="preserve">Podcast / Webcast Appearances</t>
  </si>
  <si>
    <t xml:space="preserve">Upcoming Events / Tradeshows</t>
  </si>
  <si>
    <t xml:space="preserve">Source URL(s)</t>
  </si>
  <si>
    <t xml:space="preserve">Jun 23, 2026: "Dragos Launches EmberAI to Address OT Security Skills Gap with AI Assistant" (SiliconAngle)</t>
  </si>
  <si>
    <t xml:space="preserve">No recent public activity found</t>
  </si>
  <si>
    <t xml:space="preserve">https://siliconangle.com (search: Dragos EmberAI)</t>
  </si>
  <si>
    <t xml:space="preserve">Jan 22, 2026: Announced $150M Series F at $3B valuation (PR Newswire). Feb 4, 2026: Claroty xDome recognized by KLAS Research (PR Newswire).</t>
  </si>
  <si>
    <t xml:space="preserve">https://www.claroty.com/newsroom</t>
  </si>
  <si>
    <t xml:space="preserve">May 12, 2026: "Nozomi Networks Platform Now Available On Google Cloud Marketplace." Reported joint collaboration announcement with the UAE Cybersecurity Council (~May 2026).</t>
  </si>
  <si>
    <t xml:space="preserve">https://www.nozominetworks.com/newsroom</t>
  </si>
  <si>
    <t xml:space="preserve">Jan 16, 2026: Announced CRO promotion (Rob Amezcua) and VP Product Marketing hire (Joe Malenfant).</t>
  </si>
  <si>
    <t xml:space="preserve">https://www.forescout.com/company/newsroom/</t>
  </si>
  <si>
    <t xml:space="preserve">Mar 19, 2026: "Armis Launches First-of-Its-Kind Benchmark Report to Warn of Critical Security Gaps in Native AI Development" (Business Wire). Mar 24, 2026: Armis Centrix named "Best Solution" for Cyber Exposure Management at RSAC 2026 (Business Wire).</t>
  </si>
  <si>
    <t xml:space="preserve">https://www.armis.com/newsroom/</t>
  </si>
  <si>
    <t xml:space="preserve">Podcast/webcast appearances and upcoming events columns show "No recent public activity found" for all five companies -- this reflects the actual result of this research pass, not a shortcut. This tab is inherently uneven across companies; some will have a rich public footprint, many will have little to nothing findable, and that's expected.</t>
  </si>
  <si>
    <t xml:space="preserve">Notes &amp; Assumptions</t>
  </si>
  <si>
    <t xml:space="preserve">WHAT THIS FILE IS</t>
  </si>
  <si>
    <t xml:space="preserve">A sample output demonstrating the structure and formatting the Target Company Research Prompt Builder tool's generated prompt asks Claude to produce. It uses REAL, web-search-verified facts about five well-known OT/ICS cybersecurity vendors (Dragos, Claroty, Nozomi Networks, Forescout, Armis) as of July 2026 -- company size, funding, ownership, and news items are genuine and sourced, not fabricated placeholder data.</t>
  </si>
  <si>
    <t xml:space="preserve">WHAT IS ILLUSTRATIVE (NOT A REAL COMPLETED ENGAGEMENT)</t>
  </si>
  <si>
    <t xml:space="preserve">Subjective/judgment columns -- Opportunity Fit, Opportunity Relevance, Category, Why This Fits, Executive Role Fit, Warm Introduction Path, and the resulting Suggested Priority Rank -- are illustrative example ratings built around a plausible demo purpose: "prospective clients for a marketing consulting firm serving OT/ICS security vendors." These are demonstration judgment calls to show the tracker's format, not a real completed research engagement.</t>
  </si>
  <si>
    <t xml:space="preserve">VERIFIED vs. ESTIMATED</t>
  </si>
  <si>
    <t xml:space="preserve">- Company size, HQ location, founding year, ownership/M&amp;A status: verified via multiple independent third-party sources (PitchBook, Tracxn, LeadIQ, company newsrooms, and -- for the Armis/ServiceNow deal specifically -- ServiceNow's own SEC Form 10-Q filing).</t>
  </si>
  <si>
    <t xml:space="preserve">- Revenue figures: third-party estimates where a company is privately held and does not disclose financials publicly; noted as estimates in each cell.</t>
  </si>
  <si>
    <t xml:space="preserve">- "Recent Hiring Trends" is marked "Not verified in this pass" for all five companies -- a real run of this prompt would check each company's current job postings live at the time of the request, which requires an active search at that moment rather than a one-time snapshot.</t>
  </si>
  <si>
    <t xml:space="preserve">- Compensation Benchmark and 10-K-sourced named-executive columns are marked N/A for all five companies because all five are privately held or (Armis, post-acquisition) no longer separately SEC-reporting -- none currently file a 10-K or proxy statement in their own right.</t>
  </si>
  <si>
    <t xml:space="preserve">COLOR LEGEND (rating columns: Growth/Revenue Signal, Hiring Signal, Opportunity Relevance, Opportunity Fit)</t>
  </si>
  <si>
    <t xml:space="preserve">Very High = darker green   |   High = green   |   Medium-High = yellow-green   |   Medium = yellow   |   Low-Medium = orange   |   Low = red</t>
  </si>
  <si>
    <t xml:space="preserve">SUGGESTED PRIORITY RANK FORMULA</t>
  </si>
  <si>
    <t xml:space="preserve">(Opportunity Fit points x 2) + (Opportunity Relevance points x 2) + average(Growth/Revenue Signal, Hiring Signal, and a neutral placeholder score for Recent Hiring Trends, since that column is marked not-verified in this sample rather than rated). Points: Very High=5, High=4, Medium-High=3.5, Medium=3, Low-Medium=2, Low=1. This is a mechanical starting point, not a replacement for your own judgment -- compare it against your own Priority Score.</t>
  </si>
  <si>
    <t xml:space="preserve">SCOPE NOTE ON FILTERS</t>
  </si>
  <si>
    <t xml:space="preserve">This sample does not apply the optional company-size or location-radius filters available in the Prompt Builder tool -- all five companies here are well-known, easily verifiable OT/ICS security vendors chosen specifically so every fact in this file could be checked against multiple public sources, rather than being constrained to a specific geography that might force reliance on harder-to-verify smaller/regional companies for a demonstration file.</t>
  </si>
  <si>
    <t xml:space="preserve">Summary</t>
  </si>
  <si>
    <t xml:space="preserve">Total companies researched:</t>
  </si>
  <si>
    <t xml:space="preserve">Companies by Opportunity Fit</t>
  </si>
  <si>
    <t xml:space="preserve">Low-Medium</t>
  </si>
  <si>
    <t xml:space="preserve">Low</t>
  </si>
  <si>
    <t xml:space="preserve">Companies by NAICS Code Type</t>
  </si>
  <si>
    <t xml:space="preserve">Secondary</t>
  </si>
  <si>
    <t xml:space="preserve">Companies by Category</t>
  </si>
  <si>
    <t xml:space="preserve">Top 5 by Suggested Priority Rank</t>
  </si>
  <si>
    <t xml:space="preserve">Suggested Priority Rank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</si>
</sst>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u val="single"/>
      <sz val="9.5"/>
      <color rgb="FF1D4ED8"/>
      <name val="Arial"/>
      <family val="0"/>
      <charset val="1"/>
    </font>
    <font>
      <sz val="10"/>
      <name val="Arial"/>
      <family val="2"/>
    </font>
    <font>
      <i val="true"/>
      <sz val="9.5"/>
      <color rgb="FF6B7280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sz val="10"/>
      <name val="Arial"/>
      <family val="0"/>
      <charset val="1"/>
    </font>
    <font>
      <b val="true"/>
      <sz val="10.5"/>
      <color rgb="FF1F293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293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  <fill>
      <patternFill patternType="solid">
        <fgColor rgb="FFC6E8C6"/>
        <bgColor rgb="FFE2EFC0"/>
      </patternFill>
    </fill>
    <fill>
      <patternFill patternType="solid">
        <fgColor rgb="FFE2EFC0"/>
        <bgColor rgb="FFC6E8C6"/>
      </patternFill>
    </fill>
    <fill>
      <patternFill patternType="solid">
        <fgColor rgb="FFFEF9C3"/>
        <bgColor rgb="FFFFF2B2"/>
      </patternFill>
    </fill>
    <fill>
      <patternFill patternType="solid">
        <fgColor rgb="FFA9D8A9"/>
        <bgColor rgb="FFC6E8C6"/>
      </patternFill>
    </fill>
    <fill>
      <patternFill patternType="solid">
        <fgColor rgb="FFFFF2B2"/>
        <bgColor rgb="FFFEF9C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A9D8A9"/>
          <bgColor rgb="FF000000"/>
        </patternFill>
      </fill>
    </dxf>
    <dxf>
      <fill>
        <patternFill patternType="solid">
          <fgColor rgb="FFC6E8C6"/>
          <bgColor rgb="FF000000"/>
        </patternFill>
      </fill>
    </dxf>
    <dxf>
      <fill>
        <patternFill patternType="solid">
          <fgColor rgb="FFFFF2B2"/>
          <bgColor rgb="FF000000"/>
        </patternFill>
      </fill>
    </dxf>
    <dxf>
      <fill>
        <patternFill patternType="solid">
          <fgColor rgb="FFE2EFC0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CDE3AD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7D3B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8A9"/>
      <rgbColor rgb="FF808080"/>
      <rgbColor rgb="FF9999FF"/>
      <rgbColor rgb="FF993366"/>
      <rgbColor rgb="FFFEF9C3"/>
      <rgbColor rgb="FFF3F4F6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8C6"/>
      <rgbColor rgb="FFE2EFC0"/>
      <rgbColor rgb="FFFFF2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dragos.com/" TargetMode="External"/><Relationship Id="rId3" Type="http://schemas.openxmlformats.org/officeDocument/2006/relationships/hyperlink" Target="https://claroty.com/" TargetMode="External"/><Relationship Id="rId4" Type="http://schemas.openxmlformats.org/officeDocument/2006/relationships/hyperlink" Target="https://www.nozominetworks.com/" TargetMode="External"/><Relationship Id="rId5" Type="http://schemas.openxmlformats.org/officeDocument/2006/relationships/hyperlink" Target="https://www.forescout.com/" TargetMode="External"/><Relationship Id="rId6" Type="http://schemas.openxmlformats.org/officeDocument/2006/relationships/hyperlink" Target="https://www.armis.com/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30"/>
    <col collapsed="false" customWidth="true" hidden="false" outlineLevel="0" max="10" min="9" style="0" width="26"/>
    <col collapsed="false" customWidth="true" hidden="false" outlineLevel="0" max="12" min="11" style="0" width="12"/>
    <col collapsed="false" customWidth="true" hidden="false" outlineLevel="0" max="13" min="13" style="0" width="34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26"/>
    <col collapsed="false" customWidth="true" hidden="false" outlineLevel="0" max="17" min="17" style="0" width="40"/>
    <col collapsed="false" customWidth="true" hidden="false" outlineLevel="0" max="18" min="18" style="0" width="22"/>
    <col collapsed="false" customWidth="true" hidden="false" outlineLevel="0" max="20" min="19" style="0" width="34"/>
    <col collapsed="false" customWidth="true" hidden="false" outlineLevel="0" max="21" min="21" style="0" width="40"/>
    <col collapsed="false" customWidth="true" hidden="false" outlineLevel="0" max="22" min="22" style="0" width="34"/>
    <col collapsed="false" customWidth="true" hidden="false" outlineLevel="0" max="24" min="23" style="0" width="26"/>
    <col collapsed="false" customWidth="true" hidden="false" outlineLevel="0" max="25" min="25" style="0" width="34"/>
    <col collapsed="false" customWidth="true" hidden="false" outlineLevel="0" max="26" min="26" style="0" width="12"/>
    <col collapsed="false" customWidth="true" hidden="false" outlineLevel="0" max="27" min="27" style="0" width="16"/>
    <col collapsed="false" customWidth="true" hidden="false" outlineLevel="0" max="28" min="28" style="0" width="14"/>
    <col collapsed="false" customWidth="true" hidden="false" outlineLevel="0" max="29" min="29" style="0" width="20"/>
    <col collapsed="false" customWidth="true" hidden="false" outlineLevel="0" max="30" min="30" style="0" width="16"/>
    <col collapsed="false" customWidth="true" hidden="false" outlineLevel="0" max="32" min="31" style="0" width="34"/>
    <col collapsed="false" customWidth="true" hidden="false" outlineLevel="0" max="33" min="33" style="0" width="30"/>
    <col collapsed="false" customWidth="true" hidden="false" outlineLevel="0" max="34" min="34" style="0" width="20"/>
    <col collapsed="false" customWidth="true" hidden="false" outlineLevel="0" max="35" min="35" style="0" width="2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46.25" hidden="false" customHeight="false" outlineLevel="0" collapsed="false">
      <c r="A2" s="2" t="s">
        <v>35</v>
      </c>
      <c r="B2" s="3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4" t="s">
        <v>45</v>
      </c>
      <c r="L2" s="5" t="s">
        <v>46</v>
      </c>
      <c r="M2" s="2" t="s">
        <v>47</v>
      </c>
      <c r="N2" s="4" t="s">
        <v>45</v>
      </c>
      <c r="O2" s="4" t="s">
        <v>45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6"/>
      <c r="AA2" s="7" t="n">
        <f aca="false">ROUND((_xlfn.SWITCH(TRIM(O2),"Very High",5,"High",4,"Medium-High",3.5,"Medium",3,"Low-Medium",2,"Low",1,3)*2)+(_xlfn.SWITCH(TRIM(N2),"Very High",5,"High",4,"Medium-High",3.5,"Medium",3,"Low-Medium",2,"Low",1,3)*2)+((_xlfn.SWITCH(TRIM(K2),"Very High",5,"High",4,"Medium-High",3.5,"Medium",3,"Low-Medium",2,"Low",1,3)+_xlfn.SWITCH(TRIM(L2),"Very High",5,"High",4,"Medium-High",3.5,"Medium",3,"Low-Medium",2,"Low",1,3)+3)/3),1)</f>
        <v>19.5</v>
      </c>
      <c r="AB2" s="6"/>
      <c r="AC2" s="6"/>
      <c r="AD2" s="2" t="s">
        <v>58</v>
      </c>
      <c r="AE2" s="2" t="s">
        <v>59</v>
      </c>
      <c r="AF2" s="2" t="s">
        <v>60</v>
      </c>
      <c r="AG2" s="2" t="s">
        <v>61</v>
      </c>
      <c r="AH2" s="2" t="s">
        <v>62</v>
      </c>
      <c r="AI2" s="2" t="s">
        <v>63</v>
      </c>
    </row>
    <row r="3" customFormat="false" ht="46.25" hidden="false" customHeight="false" outlineLevel="0" collapsed="false">
      <c r="A3" s="8" t="s">
        <v>64</v>
      </c>
      <c r="B3" s="9" t="s">
        <v>65</v>
      </c>
      <c r="C3" s="8" t="s">
        <v>37</v>
      </c>
      <c r="D3" s="8" t="s">
        <v>66</v>
      </c>
      <c r="E3" s="8" t="s">
        <v>39</v>
      </c>
      <c r="F3" s="8" t="s">
        <v>40</v>
      </c>
      <c r="G3" s="8" t="s">
        <v>67</v>
      </c>
      <c r="H3" s="8" t="s">
        <v>68</v>
      </c>
      <c r="I3" s="8" t="s">
        <v>69</v>
      </c>
      <c r="J3" s="8" t="s">
        <v>70</v>
      </c>
      <c r="K3" s="10" t="s">
        <v>71</v>
      </c>
      <c r="L3" s="4" t="s">
        <v>45</v>
      </c>
      <c r="M3" s="8" t="s">
        <v>72</v>
      </c>
      <c r="N3" s="4" t="s">
        <v>45</v>
      </c>
      <c r="O3" s="10" t="s">
        <v>71</v>
      </c>
      <c r="P3" s="8" t="s">
        <v>73</v>
      </c>
      <c r="Q3" s="8" t="s">
        <v>74</v>
      </c>
      <c r="R3" s="8" t="s">
        <v>50</v>
      </c>
      <c r="S3" s="8" t="s">
        <v>75</v>
      </c>
      <c r="T3" s="8" t="s">
        <v>76</v>
      </c>
      <c r="U3" s="8" t="s">
        <v>77</v>
      </c>
      <c r="V3" s="8" t="s">
        <v>54</v>
      </c>
      <c r="W3" s="8" t="s">
        <v>78</v>
      </c>
      <c r="X3" s="8" t="s">
        <v>56</v>
      </c>
      <c r="Y3" s="8" t="s">
        <v>79</v>
      </c>
      <c r="Z3" s="6"/>
      <c r="AA3" s="11" t="n">
        <f aca="false">ROUND((_xlfn.SWITCH(TRIM(O3),"Very High",5,"High",4,"Medium-High",3.5,"Medium",3,"Low-Medium",2,"Low",1,3)*2)+(_xlfn.SWITCH(TRIM(N3),"Very High",5,"High",4,"Medium-High",3.5,"Medium",3,"Low-Medium",2,"Low",1,3)*2)+((_xlfn.SWITCH(TRIM(K3),"Very High",5,"High",4,"Medium-High",3.5,"Medium",3,"Low-Medium",2,"Low",1,3)+_xlfn.SWITCH(TRIM(L3),"Very High",5,"High",4,"Medium-High",3.5,"Medium",3,"Low-Medium",2,"Low",1,3)+3)/3),1)</f>
        <v>22</v>
      </c>
      <c r="AB3" s="6"/>
      <c r="AC3" s="6"/>
      <c r="AD3" s="8" t="s">
        <v>58</v>
      </c>
      <c r="AE3" s="8" t="s">
        <v>80</v>
      </c>
      <c r="AF3" s="8" t="s">
        <v>81</v>
      </c>
      <c r="AG3" s="8" t="s">
        <v>82</v>
      </c>
      <c r="AH3" s="8" t="s">
        <v>83</v>
      </c>
      <c r="AI3" s="8" t="s">
        <v>84</v>
      </c>
    </row>
    <row r="4" customFormat="false" ht="57.45" hidden="false" customHeight="false" outlineLevel="0" collapsed="false">
      <c r="A4" s="2" t="s">
        <v>85</v>
      </c>
      <c r="B4" s="3" t="s">
        <v>86</v>
      </c>
      <c r="C4" s="2" t="s">
        <v>37</v>
      </c>
      <c r="D4" s="2" t="s">
        <v>87</v>
      </c>
      <c r="E4" s="2" t="s">
        <v>39</v>
      </c>
      <c r="F4" s="2" t="s">
        <v>40</v>
      </c>
      <c r="G4" s="2" t="s">
        <v>88</v>
      </c>
      <c r="H4" s="2" t="s">
        <v>89</v>
      </c>
      <c r="I4" s="2" t="s">
        <v>90</v>
      </c>
      <c r="J4" s="2" t="s">
        <v>91</v>
      </c>
      <c r="K4" s="4" t="s">
        <v>45</v>
      </c>
      <c r="L4" s="12" t="s">
        <v>92</v>
      </c>
      <c r="M4" s="2" t="s">
        <v>93</v>
      </c>
      <c r="N4" s="12" t="s">
        <v>92</v>
      </c>
      <c r="O4" s="12" t="s">
        <v>92</v>
      </c>
      <c r="P4" s="2" t="s">
        <v>94</v>
      </c>
      <c r="Q4" s="2" t="s">
        <v>95</v>
      </c>
      <c r="R4" s="2" t="s">
        <v>96</v>
      </c>
      <c r="S4" s="2" t="s">
        <v>97</v>
      </c>
      <c r="T4" s="2" t="s">
        <v>98</v>
      </c>
      <c r="U4" s="2" t="s">
        <v>99</v>
      </c>
      <c r="V4" s="2" t="s">
        <v>100</v>
      </c>
      <c r="W4" s="2" t="s">
        <v>101</v>
      </c>
      <c r="X4" s="2" t="s">
        <v>102</v>
      </c>
      <c r="Y4" s="2" t="s">
        <v>103</v>
      </c>
      <c r="Z4" s="6"/>
      <c r="AA4" s="7" t="n">
        <f aca="false">ROUND((_xlfn.SWITCH(TRIM(O4),"Very High",5,"High",4,"Medium-High",3.5,"Medium",3,"Low-Medium",2,"Low",1,3)*2)+(_xlfn.SWITCH(TRIM(N4),"Very High",5,"High",4,"Medium-High",3.5,"Medium",3,"Low-Medium",2,"Low",1,3)*2)+((_xlfn.SWITCH(TRIM(K4),"Very High",5,"High",4,"Medium-High",3.5,"Medium",3,"Low-Medium",2,"Low",1,3)+_xlfn.SWITCH(TRIM(L4),"Very High",5,"High",4,"Medium-High",3.5,"Medium",3,"Low-Medium",2,"Low",1,3)+3)/3),1)</f>
        <v>15.3</v>
      </c>
      <c r="AB4" s="6"/>
      <c r="AC4" s="6"/>
      <c r="AD4" s="2" t="s">
        <v>58</v>
      </c>
      <c r="AE4" s="2" t="s">
        <v>104</v>
      </c>
      <c r="AF4" s="2" t="s">
        <v>105</v>
      </c>
      <c r="AG4" s="2" t="s">
        <v>106</v>
      </c>
      <c r="AH4" s="2" t="s">
        <v>107</v>
      </c>
      <c r="AI4" s="2" t="s">
        <v>108</v>
      </c>
    </row>
    <row r="5" customFormat="false" ht="57.45" hidden="false" customHeight="false" outlineLevel="0" collapsed="false">
      <c r="A5" s="8" t="s">
        <v>109</v>
      </c>
      <c r="B5" s="9" t="s">
        <v>110</v>
      </c>
      <c r="C5" s="8" t="s">
        <v>37</v>
      </c>
      <c r="D5" s="8" t="s">
        <v>111</v>
      </c>
      <c r="E5" s="8" t="s">
        <v>39</v>
      </c>
      <c r="F5" s="8" t="s">
        <v>40</v>
      </c>
      <c r="G5" s="8" t="s">
        <v>112</v>
      </c>
      <c r="H5" s="8" t="s">
        <v>113</v>
      </c>
      <c r="I5" s="8" t="s">
        <v>114</v>
      </c>
      <c r="J5" s="8" t="s">
        <v>115</v>
      </c>
      <c r="K5" s="12" t="s">
        <v>92</v>
      </c>
      <c r="L5" s="12" t="s">
        <v>92</v>
      </c>
      <c r="M5" s="8" t="s">
        <v>116</v>
      </c>
      <c r="N5" s="12" t="s">
        <v>92</v>
      </c>
      <c r="O5" s="12" t="s">
        <v>92</v>
      </c>
      <c r="P5" s="8" t="s">
        <v>117</v>
      </c>
      <c r="Q5" s="8" t="s">
        <v>118</v>
      </c>
      <c r="R5" s="8" t="s">
        <v>119</v>
      </c>
      <c r="S5" s="8" t="s">
        <v>120</v>
      </c>
      <c r="T5" s="8" t="s">
        <v>121</v>
      </c>
      <c r="U5" s="8" t="s">
        <v>122</v>
      </c>
      <c r="V5" s="8" t="s">
        <v>123</v>
      </c>
      <c r="W5" s="8" t="s">
        <v>124</v>
      </c>
      <c r="X5" s="8" t="s">
        <v>125</v>
      </c>
      <c r="Y5" s="8" t="s">
        <v>126</v>
      </c>
      <c r="Z5" s="6"/>
      <c r="AA5" s="11" t="n">
        <f aca="false">ROUND((_xlfn.SWITCH(TRIM(O5),"Very High",5,"High",4,"Medium-High",3.5,"Medium",3,"Low-Medium",2,"Low",1,3)*2)+(_xlfn.SWITCH(TRIM(N5),"Very High",5,"High",4,"Medium-High",3.5,"Medium",3,"Low-Medium",2,"Low",1,3)*2)+((_xlfn.SWITCH(TRIM(K5),"Very High",5,"High",4,"Medium-High",3.5,"Medium",3,"Low-Medium",2,"Low",1,3)+_xlfn.SWITCH(TRIM(L5),"Very High",5,"High",4,"Medium-High",3.5,"Medium",3,"Low-Medium",2,"Low",1,3)+3)/3),1)</f>
        <v>15</v>
      </c>
      <c r="AB5" s="6"/>
      <c r="AC5" s="6"/>
      <c r="AD5" s="8" t="s">
        <v>58</v>
      </c>
      <c r="AE5" s="8" t="s">
        <v>127</v>
      </c>
      <c r="AF5" s="8" t="s">
        <v>128</v>
      </c>
      <c r="AG5" s="8" t="s">
        <v>129</v>
      </c>
      <c r="AH5" s="8" t="s">
        <v>130</v>
      </c>
      <c r="AI5" s="8" t="s">
        <v>131</v>
      </c>
    </row>
    <row r="6" customFormat="false" ht="57.45" hidden="false" customHeight="false" outlineLevel="0" collapsed="false">
      <c r="A6" s="2" t="s">
        <v>132</v>
      </c>
      <c r="B6" s="3" t="s">
        <v>133</v>
      </c>
      <c r="C6" s="2" t="s">
        <v>37</v>
      </c>
      <c r="D6" s="2" t="s">
        <v>134</v>
      </c>
      <c r="E6" s="2" t="s">
        <v>39</v>
      </c>
      <c r="F6" s="2" t="s">
        <v>40</v>
      </c>
      <c r="G6" s="2" t="s">
        <v>135</v>
      </c>
      <c r="H6" s="2" t="s">
        <v>136</v>
      </c>
      <c r="I6" s="2" t="s">
        <v>137</v>
      </c>
      <c r="J6" s="2" t="s">
        <v>138</v>
      </c>
      <c r="K6" s="10" t="s">
        <v>71</v>
      </c>
      <c r="L6" s="4" t="s">
        <v>45</v>
      </c>
      <c r="M6" s="2" t="s">
        <v>139</v>
      </c>
      <c r="N6" s="12" t="s">
        <v>92</v>
      </c>
      <c r="O6" s="12" t="s">
        <v>92</v>
      </c>
      <c r="P6" s="2" t="s">
        <v>94</v>
      </c>
      <c r="Q6" s="2" t="s">
        <v>140</v>
      </c>
      <c r="R6" s="2" t="s">
        <v>141</v>
      </c>
      <c r="S6" s="2" t="s">
        <v>142</v>
      </c>
      <c r="T6" s="2" t="s">
        <v>143</v>
      </c>
      <c r="U6" s="2" t="s">
        <v>144</v>
      </c>
      <c r="V6" s="2" t="s">
        <v>145</v>
      </c>
      <c r="W6" s="2" t="s">
        <v>146</v>
      </c>
      <c r="X6" s="2" t="s">
        <v>102</v>
      </c>
      <c r="Y6" s="2" t="s">
        <v>147</v>
      </c>
      <c r="Z6" s="6"/>
      <c r="AA6" s="7" t="n">
        <f aca="false">ROUND((_xlfn.SWITCH(TRIM(O6),"Very High",5,"High",4,"Medium-High",3.5,"Medium",3,"Low-Medium",2,"Low",1,3)*2)+(_xlfn.SWITCH(TRIM(N6),"Very High",5,"High",4,"Medium-High",3.5,"Medium",3,"Low-Medium",2,"Low",1,3)*2)+((_xlfn.SWITCH(TRIM(K6),"Very High",5,"High",4,"Medium-High",3.5,"Medium",3,"Low-Medium",2,"Low",1,3)+_xlfn.SWITCH(TRIM(L6),"Very High",5,"High",4,"Medium-High",3.5,"Medium",3,"Low-Medium",2,"Low",1,3)+3)/3),1)</f>
        <v>16</v>
      </c>
      <c r="AB6" s="6"/>
      <c r="AC6" s="6"/>
      <c r="AD6" s="2" t="s">
        <v>58</v>
      </c>
      <c r="AE6" s="2" t="s">
        <v>148</v>
      </c>
      <c r="AF6" s="2" t="s">
        <v>149</v>
      </c>
      <c r="AG6" s="2" t="s">
        <v>150</v>
      </c>
      <c r="AH6" s="2" t="s">
        <v>107</v>
      </c>
      <c r="AI6" s="2" t="s">
        <v>108</v>
      </c>
    </row>
  </sheetData>
  <autoFilter ref="A1:AI6"/>
  <conditionalFormatting sqref="AA2:AA6">
    <cfRule type="colorScale" priority="2">
      <colorScale>
        <cfvo type="min" val="0"/>
        <cfvo type="percentile" val="50"/>
        <cfvo type="max" val="0"/>
        <color rgb="FFF4C7C3"/>
        <color rgb="FFFFF2B2"/>
        <color rgb="FFA9D8A9"/>
      </colorScale>
    </cfRule>
  </conditionalFormatting>
  <hyperlinks>
    <hyperlink ref="B2" r:id="rId2" display="https://www.dragos.com"/>
    <hyperlink ref="B3" r:id="rId3" display="https://claroty.com"/>
    <hyperlink ref="B4" r:id="rId4" display="https://www.nozominetworks.com"/>
    <hyperlink ref="B5" r:id="rId5" display="https://www.forescout.com"/>
    <hyperlink ref="B6" r:id="rId6" display="https://www.armis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5" min="3" style="0" width="22"/>
  </cols>
  <sheetData>
    <row r="1" customFormat="false" ht="30" hidden="false" customHeight="true" outlineLevel="0" collapsed="false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 customFormat="false" ht="15" hidden="false" customHeight="false" outlineLevel="0" collapsed="false">
      <c r="A2" s="2" t="s">
        <v>35</v>
      </c>
      <c r="B2" s="2" t="s">
        <v>155</v>
      </c>
      <c r="C2" s="2" t="str">
        <f aca="false">HYPERLINK("https://www.linkedin.com/jobs/search/?keywords="&amp;_xlfn.ENCODEURL(A2)&amp;"%20"&amp;_xlfn.ENCODEURL(B2),"Search LinkedIn")</f>
        <v>Search LinkedIn</v>
      </c>
      <c r="D2" s="2" t="str">
        <f aca="false">HYPERLINK("https://www.indeed.com/jobs?q="&amp;_xlfn.ENCODEURL(B2)&amp;"+"&amp;_xlfn.ENCODEURL(A2),"Search Indeed")</f>
        <v>Search Indeed</v>
      </c>
      <c r="E2" s="2" t="str">
        <f aca="false">HYPERLINK("https://www.google.com/search?q="&amp;_xlfn.ENCODEURL(A2)&amp;"+"&amp;_xlfn.ENCODEURL(B2)&amp;"+jobs","Search Google Jobs")</f>
        <v>Search Google Jobs</v>
      </c>
    </row>
    <row r="3" customFormat="false" ht="15" hidden="false" customHeight="false" outlineLevel="0" collapsed="false">
      <c r="A3" s="8" t="s">
        <v>64</v>
      </c>
      <c r="B3" s="8" t="s">
        <v>155</v>
      </c>
      <c r="C3" s="8" t="str">
        <f aca="false">HYPERLINK("https://www.linkedin.com/jobs/search/?keywords="&amp;_xlfn.ENCODEURL(A3)&amp;"%20"&amp;_xlfn.ENCODEURL(B3),"Search LinkedIn")</f>
        <v>Search LinkedIn</v>
      </c>
      <c r="D3" s="8" t="str">
        <f aca="false">HYPERLINK("https://www.indeed.com/jobs?q="&amp;_xlfn.ENCODEURL(B3)&amp;"+"&amp;_xlfn.ENCODEURL(A3),"Search Indeed")</f>
        <v>Search Indeed</v>
      </c>
      <c r="E3" s="8" t="str">
        <f aca="false">HYPERLINK("https://www.google.com/search?q="&amp;_xlfn.ENCODEURL(A3)&amp;"+"&amp;_xlfn.ENCODEURL(B3)&amp;"+jobs","Search Google Jobs")</f>
        <v>Search Google Jobs</v>
      </c>
    </row>
    <row r="4" customFormat="false" ht="15" hidden="false" customHeight="false" outlineLevel="0" collapsed="false">
      <c r="A4" s="2" t="s">
        <v>85</v>
      </c>
      <c r="B4" s="2" t="s">
        <v>156</v>
      </c>
      <c r="C4" s="2" t="str">
        <f aca="false">HYPERLINK("https://www.linkedin.com/jobs/search/?keywords="&amp;_xlfn.ENCODEURL(A4)&amp;"%20"&amp;_xlfn.ENCODEURL(B4),"Search LinkedIn")</f>
        <v>Search LinkedIn</v>
      </c>
      <c r="D4" s="2" t="str">
        <f aca="false">HYPERLINK("https://www.indeed.com/jobs?q="&amp;_xlfn.ENCODEURL(B4)&amp;"+"&amp;_xlfn.ENCODEURL(A4),"Search Indeed")</f>
        <v>Search Indeed</v>
      </c>
      <c r="E4" s="2" t="str">
        <f aca="false">HYPERLINK("https://www.google.com/search?q="&amp;_xlfn.ENCODEURL(A4)&amp;"+"&amp;_xlfn.ENCODEURL(B4)&amp;"+jobs","Search Google Jobs")</f>
        <v>Search Google Jobs</v>
      </c>
    </row>
    <row r="5" customFormat="false" ht="15" hidden="false" customHeight="false" outlineLevel="0" collapsed="false">
      <c r="A5" s="8" t="s">
        <v>109</v>
      </c>
      <c r="B5" s="8" t="s">
        <v>155</v>
      </c>
      <c r="C5" s="8" t="str">
        <f aca="false">HYPERLINK("https://www.linkedin.com/jobs/search/?keywords="&amp;_xlfn.ENCODEURL(A5)&amp;"%20"&amp;_xlfn.ENCODEURL(B5),"Search LinkedIn")</f>
        <v>Search LinkedIn</v>
      </c>
      <c r="D5" s="8" t="str">
        <f aca="false">HYPERLINK("https://www.indeed.com/jobs?q="&amp;_xlfn.ENCODEURL(B5)&amp;"+"&amp;_xlfn.ENCODEURL(A5),"Search Indeed")</f>
        <v>Search Indeed</v>
      </c>
      <c r="E5" s="8" t="str">
        <f aca="false">HYPERLINK("https://www.google.com/search?q="&amp;_xlfn.ENCODEURL(A5)&amp;"+"&amp;_xlfn.ENCODEURL(B5)&amp;"+jobs","Search Google Jobs")</f>
        <v>Search Google Jobs</v>
      </c>
    </row>
    <row r="6" customFormat="false" ht="15" hidden="false" customHeight="false" outlineLevel="0" collapsed="false">
      <c r="A6" s="2" t="s">
        <v>132</v>
      </c>
      <c r="B6" s="2" t="s">
        <v>156</v>
      </c>
      <c r="C6" s="2" t="str">
        <f aca="false">HYPERLINK("https://www.linkedin.com/jobs/search/?keywords="&amp;_xlfn.ENCODEURL(A6)&amp;"%20"&amp;_xlfn.ENCODEURL(B6),"Search LinkedIn")</f>
        <v>Search LinkedIn</v>
      </c>
      <c r="D6" s="2" t="str">
        <f aca="false">HYPERLINK("https://www.indeed.com/jobs?q="&amp;_xlfn.ENCODEURL(B6)&amp;"+"&amp;_xlfn.ENCODEURL(A6),"Search Indeed")</f>
        <v>Search Indeed</v>
      </c>
      <c r="E6" s="2" t="str">
        <f aca="false">HYPERLINK("https://www.google.com/search?q="&amp;_xlfn.ENCODEURL(A6)&amp;"+"&amp;_xlfn.ENCODEURL(B6)&amp;"+jobs","Search Google Jobs")</f>
        <v>Search Google Jobs</v>
      </c>
    </row>
    <row r="8" customFormat="false" ht="60" hidden="false" customHeight="true" outlineLevel="0" collapsed="false">
      <c r="A8" s="13" t="s">
        <v>157</v>
      </c>
      <c r="B8" s="13"/>
      <c r="C8" s="13"/>
      <c r="D8" s="13"/>
      <c r="E8" s="13"/>
    </row>
  </sheetData>
  <autoFilter ref="A1:E6"/>
  <mergeCells count="1"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34"/>
  </cols>
  <sheetData>
    <row r="1" customFormat="false" ht="30" hidden="false" customHeight="true" outlineLevel="0" collapsed="false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</row>
    <row r="2" customFormat="false" ht="23.85" hidden="false" customHeight="false" outlineLevel="0" collapsed="false">
      <c r="A2" s="2" t="s">
        <v>164</v>
      </c>
      <c r="B2" s="2" t="s">
        <v>165</v>
      </c>
      <c r="C2" s="2" t="s">
        <v>166</v>
      </c>
      <c r="D2" s="2" t="s">
        <v>167</v>
      </c>
      <c r="E2" s="2" t="s">
        <v>168</v>
      </c>
      <c r="F2" s="2" t="s">
        <v>169</v>
      </c>
    </row>
    <row r="3" customFormat="false" ht="23.85" hidden="false" customHeight="false" outlineLevel="0" collapsed="false">
      <c r="A3" s="8" t="s">
        <v>170</v>
      </c>
      <c r="B3" s="8" t="s">
        <v>171</v>
      </c>
      <c r="C3" s="8" t="s">
        <v>172</v>
      </c>
      <c r="D3" s="8" t="s">
        <v>167</v>
      </c>
      <c r="E3" s="8" t="s">
        <v>173</v>
      </c>
      <c r="F3" s="8" t="s">
        <v>174</v>
      </c>
    </row>
    <row r="5" customFormat="false" ht="49.5" hidden="false" customHeight="true" outlineLevel="0" collapsed="false">
      <c r="A5" s="13" t="s">
        <v>175</v>
      </c>
      <c r="B5" s="13"/>
      <c r="C5" s="13"/>
      <c r="D5" s="13"/>
      <c r="E5" s="13"/>
      <c r="F5" s="13"/>
    </row>
  </sheetData>
  <autoFilter ref="A1:F3"/>
  <mergeCells count="1"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5"/>
    <col collapsed="false" customWidth="true" hidden="false" outlineLevel="0" max="4" min="3" style="0" width="30"/>
    <col collapsed="false" customWidth="true" hidden="false" outlineLevel="0" max="5" min="5" style="0" width="34"/>
  </cols>
  <sheetData>
    <row r="1" customFormat="false" ht="30" hidden="false" customHeight="true" outlineLevel="0" collapsed="false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</row>
    <row r="2" customFormat="false" ht="23.85" hidden="false" customHeight="false" outlineLevel="0" collapsed="false">
      <c r="A2" s="2" t="s">
        <v>35</v>
      </c>
      <c r="B2" s="2" t="s">
        <v>180</v>
      </c>
      <c r="C2" s="2" t="s">
        <v>181</v>
      </c>
      <c r="D2" s="2" t="s">
        <v>181</v>
      </c>
      <c r="E2" s="2" t="s">
        <v>182</v>
      </c>
    </row>
    <row r="3" customFormat="false" ht="35.05" hidden="false" customHeight="false" outlineLevel="0" collapsed="false">
      <c r="A3" s="8" t="s">
        <v>64</v>
      </c>
      <c r="B3" s="8" t="s">
        <v>183</v>
      </c>
      <c r="C3" s="8" t="s">
        <v>181</v>
      </c>
      <c r="D3" s="8" t="s">
        <v>181</v>
      </c>
      <c r="E3" s="8" t="s">
        <v>184</v>
      </c>
    </row>
    <row r="4" customFormat="false" ht="35.05" hidden="false" customHeight="false" outlineLevel="0" collapsed="false">
      <c r="A4" s="2" t="s">
        <v>85</v>
      </c>
      <c r="B4" s="2" t="s">
        <v>185</v>
      </c>
      <c r="C4" s="2" t="s">
        <v>181</v>
      </c>
      <c r="D4" s="2" t="s">
        <v>181</v>
      </c>
      <c r="E4" s="2" t="s">
        <v>186</v>
      </c>
    </row>
    <row r="5" customFormat="false" ht="23.85" hidden="false" customHeight="false" outlineLevel="0" collapsed="false">
      <c r="A5" s="8" t="s">
        <v>109</v>
      </c>
      <c r="B5" s="8" t="s">
        <v>187</v>
      </c>
      <c r="C5" s="8" t="s">
        <v>181</v>
      </c>
      <c r="D5" s="8" t="s">
        <v>181</v>
      </c>
      <c r="E5" s="8" t="s">
        <v>188</v>
      </c>
    </row>
    <row r="6" customFormat="false" ht="57.45" hidden="false" customHeight="false" outlineLevel="0" collapsed="false">
      <c r="A6" s="2" t="s">
        <v>132</v>
      </c>
      <c r="B6" s="2" t="s">
        <v>189</v>
      </c>
      <c r="C6" s="2" t="s">
        <v>181</v>
      </c>
      <c r="D6" s="2" t="s">
        <v>181</v>
      </c>
      <c r="E6" s="2" t="s">
        <v>190</v>
      </c>
    </row>
    <row r="8" customFormat="false" ht="54.75" hidden="false" customHeight="true" outlineLevel="0" collapsed="false">
      <c r="A8" s="13" t="s">
        <v>191</v>
      </c>
      <c r="B8" s="13"/>
      <c r="C8" s="13"/>
      <c r="D8" s="13"/>
      <c r="E8" s="13"/>
    </row>
  </sheetData>
  <autoFilter ref="A1:E6"/>
  <mergeCells count="1"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6.15" hidden="false" customHeight="false" outlineLevel="0" collapsed="false">
      <c r="A1" s="14" t="s">
        <v>192</v>
      </c>
    </row>
    <row r="2" customFormat="false" ht="30" hidden="false" customHeight="true" outlineLevel="0" collapsed="false">
      <c r="A2" s="15"/>
    </row>
    <row r="3" customFormat="false" ht="30" hidden="false" customHeight="true" outlineLevel="0" collapsed="false">
      <c r="A3" s="16" t="s">
        <v>193</v>
      </c>
    </row>
    <row r="4" customFormat="false" ht="30" hidden="false" customHeight="true" outlineLevel="0" collapsed="false">
      <c r="A4" s="15" t="s">
        <v>194</v>
      </c>
    </row>
    <row r="5" customFormat="false" ht="30" hidden="false" customHeight="true" outlineLevel="0" collapsed="false">
      <c r="A5" s="15"/>
    </row>
    <row r="6" customFormat="false" ht="30" hidden="false" customHeight="true" outlineLevel="0" collapsed="false">
      <c r="A6" s="16" t="s">
        <v>195</v>
      </c>
    </row>
    <row r="7" customFormat="false" ht="30" hidden="false" customHeight="true" outlineLevel="0" collapsed="false">
      <c r="A7" s="15" t="s">
        <v>196</v>
      </c>
    </row>
    <row r="8" customFormat="false" ht="30" hidden="false" customHeight="true" outlineLevel="0" collapsed="false">
      <c r="A8" s="15"/>
    </row>
    <row r="9" customFormat="false" ht="30" hidden="false" customHeight="true" outlineLevel="0" collapsed="false">
      <c r="A9" s="15" t="s">
        <v>197</v>
      </c>
    </row>
    <row r="10" customFormat="false" ht="30" hidden="false" customHeight="true" outlineLevel="0" collapsed="false">
      <c r="A10" s="15" t="s">
        <v>198</v>
      </c>
    </row>
    <row r="11" customFormat="false" ht="30" hidden="false" customHeight="true" outlineLevel="0" collapsed="false">
      <c r="A11" s="15" t="s">
        <v>199</v>
      </c>
    </row>
    <row r="12" customFormat="false" ht="30" hidden="false" customHeight="true" outlineLevel="0" collapsed="false">
      <c r="A12" s="15" t="s">
        <v>200</v>
      </c>
    </row>
    <row r="13" customFormat="false" ht="30" hidden="false" customHeight="true" outlineLevel="0" collapsed="false">
      <c r="A13" s="15" t="s">
        <v>201</v>
      </c>
    </row>
    <row r="14" customFormat="false" ht="30" hidden="false" customHeight="true" outlineLevel="0" collapsed="false">
      <c r="A14" s="15"/>
    </row>
    <row r="15" customFormat="false" ht="30" hidden="false" customHeight="true" outlineLevel="0" collapsed="false">
      <c r="A15" s="15" t="s">
        <v>202</v>
      </c>
    </row>
    <row r="16" customFormat="false" ht="30" hidden="false" customHeight="true" outlineLevel="0" collapsed="false">
      <c r="A16" s="15" t="s">
        <v>203</v>
      </c>
    </row>
    <row r="17" customFormat="false" ht="30" hidden="false" customHeight="true" outlineLevel="0" collapsed="false">
      <c r="A17" s="15"/>
    </row>
    <row r="18" customFormat="false" ht="30" hidden="false" customHeight="true" outlineLevel="0" collapsed="false">
      <c r="A18" s="16" t="s">
        <v>204</v>
      </c>
    </row>
    <row r="19" customFormat="false" ht="30" hidden="false" customHeight="true" outlineLevel="0" collapsed="false">
      <c r="A19" s="15" t="s">
        <v>205</v>
      </c>
    </row>
    <row r="20" customFormat="false" ht="30" hidden="false" customHeight="true" outlineLevel="0" collapsed="false">
      <c r="A20" s="15"/>
    </row>
    <row r="21" customFormat="false" ht="30" hidden="false" customHeight="true" outlineLevel="0" collapsed="false">
      <c r="A21" s="16" t="s">
        <v>206</v>
      </c>
    </row>
    <row r="22" customFormat="false" ht="30" hidden="false" customHeight="true" outlineLevel="0" collapsed="false">
      <c r="A22" s="15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4" t="s">
        <v>208</v>
      </c>
    </row>
    <row r="3" customFormat="false" ht="15" hidden="false" customHeight="false" outlineLevel="0" collapsed="false">
      <c r="A3" s="17" t="s">
        <v>209</v>
      </c>
      <c r="B3" s="18" t="n">
        <f aca="false">COUNTA('Company Tracker'!A2:A6)</f>
        <v>5</v>
      </c>
    </row>
    <row r="5" customFormat="false" ht="15" hidden="false" customHeight="false" outlineLevel="0" collapsed="false">
      <c r="A5" s="19" t="s">
        <v>210</v>
      </c>
    </row>
    <row r="6" customFormat="false" ht="15" hidden="false" customHeight="false" outlineLevel="0" collapsed="false">
      <c r="A6" s="18" t="s">
        <v>71</v>
      </c>
      <c r="B6" s="18" t="n">
        <f aca="false">COUNTIF('Company Tracker'!O2:O6,A6)</f>
        <v>1</v>
      </c>
    </row>
    <row r="7" customFormat="false" ht="15" hidden="false" customHeight="false" outlineLevel="0" collapsed="false">
      <c r="A7" s="18" t="s">
        <v>45</v>
      </c>
      <c r="B7" s="18" t="n">
        <f aca="false">COUNTIF('Company Tracker'!O2:O6,A7)</f>
        <v>1</v>
      </c>
    </row>
    <row r="8" customFormat="false" ht="15" hidden="false" customHeight="false" outlineLevel="0" collapsed="false">
      <c r="A8" s="18" t="s">
        <v>46</v>
      </c>
      <c r="B8" s="18" t="n">
        <f aca="false">COUNTIF('Company Tracker'!O2:O6,A8)</f>
        <v>0</v>
      </c>
    </row>
    <row r="9" customFormat="false" ht="15" hidden="false" customHeight="false" outlineLevel="0" collapsed="false">
      <c r="A9" s="18" t="s">
        <v>92</v>
      </c>
      <c r="B9" s="18" t="n">
        <f aca="false">COUNTIF('Company Tracker'!O2:O6,A9)</f>
        <v>3</v>
      </c>
    </row>
    <row r="10" customFormat="false" ht="15" hidden="false" customHeight="false" outlineLevel="0" collapsed="false">
      <c r="A10" s="18" t="s">
        <v>211</v>
      </c>
      <c r="B10" s="18" t="n">
        <f aca="false">COUNTIF('Company Tracker'!O2:O6,A10)</f>
        <v>0</v>
      </c>
    </row>
    <row r="11" customFormat="false" ht="15" hidden="false" customHeight="false" outlineLevel="0" collapsed="false">
      <c r="A11" s="18" t="s">
        <v>212</v>
      </c>
      <c r="B11" s="18" t="n">
        <f aca="false">COUNTIF('Company Tracker'!O2:O6,A11)</f>
        <v>0</v>
      </c>
    </row>
    <row r="13" customFormat="false" ht="15" hidden="false" customHeight="false" outlineLevel="0" collapsed="false">
      <c r="A13" s="19" t="s">
        <v>213</v>
      </c>
    </row>
    <row r="14" customFormat="false" ht="15" hidden="false" customHeight="false" outlineLevel="0" collapsed="false">
      <c r="A14" s="18" t="s">
        <v>40</v>
      </c>
      <c r="B14" s="18" t="n">
        <f aca="false">COUNTIF('Company Tracker'!F2:F6,A14)</f>
        <v>5</v>
      </c>
    </row>
    <row r="15" customFormat="false" ht="15" hidden="false" customHeight="false" outlineLevel="0" collapsed="false">
      <c r="A15" s="18" t="s">
        <v>214</v>
      </c>
      <c r="B15" s="18" t="n">
        <f aca="false">COUNTIF('Company Tracker'!F2:F6,A15)</f>
        <v>0</v>
      </c>
    </row>
    <row r="17" customFormat="false" ht="15" hidden="false" customHeight="false" outlineLevel="0" collapsed="false">
      <c r="A17" s="19" t="s">
        <v>215</v>
      </c>
    </row>
    <row r="18" customFormat="false" ht="15" hidden="false" customHeight="false" outlineLevel="0" collapsed="false">
      <c r="A18" s="18" t="s">
        <v>48</v>
      </c>
      <c r="B18" s="18" t="n">
        <f aca="false">COUNTIF('Company Tracker'!P2:P6,A18)</f>
        <v>1</v>
      </c>
    </row>
    <row r="19" customFormat="false" ht="15" hidden="false" customHeight="false" outlineLevel="0" collapsed="false">
      <c r="A19" s="18" t="s">
        <v>73</v>
      </c>
      <c r="B19" s="18" t="n">
        <f aca="false">COUNTIF('Company Tracker'!P2:P6,A19)</f>
        <v>1</v>
      </c>
    </row>
    <row r="20" customFormat="false" ht="15" hidden="false" customHeight="false" outlineLevel="0" collapsed="false">
      <c r="A20" s="18" t="s">
        <v>117</v>
      </c>
      <c r="B20" s="18" t="n">
        <f aca="false">COUNTIF('Company Tracker'!P2:P6,A20)</f>
        <v>1</v>
      </c>
    </row>
    <row r="21" customFormat="false" ht="15" hidden="false" customHeight="false" outlineLevel="0" collapsed="false">
      <c r="A21" s="18" t="s">
        <v>94</v>
      </c>
      <c r="B21" s="18" t="n">
        <f aca="false">COUNTIF('Company Tracker'!P2:P6,A21)</f>
        <v>2</v>
      </c>
    </row>
    <row r="24" customFormat="false" ht="15" hidden="false" customHeight="false" outlineLevel="0" collapsed="false">
      <c r="A24" s="19" t="s">
        <v>216</v>
      </c>
    </row>
    <row r="25" customFormat="false" ht="15" hidden="false" customHeight="false" outlineLevel="0" collapsed="false">
      <c r="A25" s="17" t="s">
        <v>0</v>
      </c>
      <c r="B25" s="17" t="s">
        <v>217</v>
      </c>
    </row>
    <row r="26" customFormat="false" ht="15" hidden="false" customHeight="false" outlineLevel="0" collapsed="false">
      <c r="A26" s="18" t="str">
        <f aca="false">IFERROR(INDEX('Company Tracker'!$A$2:$A$6,MATCH(B26,'Company Tracker'!$AA$2:$AA$6,0)),"")</f>
        <v>Claroty Ltd.</v>
      </c>
      <c r="B26" s="18" t="n">
        <f aca="false">IFERROR(LARGE('Company Tracker'!$AA$2:$AA$6,1),"")</f>
        <v>22</v>
      </c>
    </row>
    <row r="27" customFormat="false" ht="15" hidden="false" customHeight="false" outlineLevel="0" collapsed="false">
      <c r="A27" s="18" t="str">
        <f aca="false">IFERROR(INDEX('Company Tracker'!$A$2:$A$6,MATCH(B27,'Company Tracker'!$AA$2:$AA$6,0)),"")</f>
        <v>Dragos, Inc.</v>
      </c>
      <c r="B27" s="18" t="n">
        <f aca="false">IFERROR(LARGE('Company Tracker'!$AA$2:$AA$6,2),"")</f>
        <v>19.5</v>
      </c>
    </row>
    <row r="28" customFormat="false" ht="15" hidden="false" customHeight="false" outlineLevel="0" collapsed="false">
      <c r="A28" s="18" t="str">
        <f aca="false">IFERROR(INDEX('Company Tracker'!$A$2:$A$6,MATCH(B28,'Company Tracker'!$AA$2:$AA$6,0)),"")</f>
        <v>Armis, Inc.</v>
      </c>
      <c r="B28" s="18" t="n">
        <f aca="false">IFERROR(LARGE('Company Tracker'!$AA$2:$AA$6,3),"")</f>
        <v>16</v>
      </c>
    </row>
    <row r="29" customFormat="false" ht="15" hidden="false" customHeight="false" outlineLevel="0" collapsed="false">
      <c r="A29" s="18" t="str">
        <f aca="false">IFERROR(INDEX('Company Tracker'!$A$2:$A$6,MATCH(B29,'Company Tracker'!$AA$2:$AA$6,0)),"")</f>
        <v>Nozomi Networks</v>
      </c>
      <c r="B29" s="18" t="n">
        <f aca="false">IFERROR(LARGE('Company Tracker'!$AA$2:$AA$6,4),"")</f>
        <v>15.3</v>
      </c>
    </row>
    <row r="30" customFormat="false" ht="15" hidden="false" customHeight="false" outlineLevel="0" collapsed="false">
      <c r="A30" s="18" t="str">
        <f aca="false">IFERROR(INDEX('Company Tracker'!$A$2:$A$6,MATCH(B30,'Company Tracker'!$AA$2:$AA$6,0)),"")</f>
        <v>Forescout Technologies, Inc.</v>
      </c>
      <c r="B30" s="18" t="n">
        <f aca="false">IFERROR(LARGE('Company Tracker'!$AA$2:$AA$6,5),"")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2026-07-24T19:00:17Z</dcterms:created>
  <dc:creator>openpyxl</dc:creator>
  <dc:description/>
  <dc:language>en-US</dc:language>
  <cp:lastModifiedBy/>
  <dcterms:modified xsi:type="dcterms:W3CDTF">2026-07-24T19:01:30Z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