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er 1 - Priority Targets" sheetId="1" state="visible" r:id="rId3"/>
    <sheet name="Tier 2 - Extended List" sheetId="2" state="visible" r:id="rId4"/>
  </sheets>
  <definedNames>
    <definedName function="false" hidden="true" localSheetId="0" name="_xlnm._FilterDatabase" vbProcedure="false">'Tier 1 - Priority Targets'!$A$1:$AL$9</definedName>
    <definedName function="false" hidden="true" localSheetId="1" name="_xlnm._FilterDatabase" vbProcedure="false">'Tier 2 - Extended List'!$A$1:$J$16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C1" authorId="0">
      <text>
        <r>
          <rPr>
            <sz val="10"/>
            <rFont val="Arial"/>
            <family val="2"/>
          </rPr>
          <t xml:space="preserve">Mechanical starting point only, computed from the five rating columns. Not a replacement for your own judgment.</t>
        </r>
      </text>
    </comment>
  </commentList>
</comments>
</file>

<file path=xl/sharedStrings.xml><?xml version="1.0" encoding="utf-8"?>
<sst xmlns="http://schemas.openxmlformats.org/spreadsheetml/2006/main" count="414" uniqueCount="285">
  <si>
    <t xml:space="preserve">Company</t>
  </si>
  <si>
    <t xml:space="preserve">Website</t>
  </si>
  <si>
    <t xml:space="preserve">Careers Page</t>
  </si>
  <si>
    <t xml:space="preserve">Industry / Sector</t>
  </si>
  <si>
    <t xml:space="preserve">Industry Emphasized</t>
  </si>
  <si>
    <t xml:space="preserve">NAICS Code(s)</t>
  </si>
  <si>
    <t xml:space="preserve">NAICS Code Type</t>
  </si>
  <si>
    <t xml:space="preserve">Why This NAICS Code</t>
  </si>
  <si>
    <t xml:space="preserve">HQ Location / Footprint</t>
  </si>
  <si>
    <t xml:space="preserve">Company Size</t>
  </si>
  <si>
    <t xml:space="preserve">Revenue Band / Latest Revenue</t>
  </si>
  <si>
    <t xml:space="preserve">Growth / Revenue Signal</t>
  </si>
  <si>
    <t xml:space="preserve">Hiring Signal</t>
  </si>
  <si>
    <t xml:space="preserve">Recent Hiring Trends</t>
  </si>
  <si>
    <t xml:space="preserve">Salary Range (if posted)</t>
  </si>
  <si>
    <t xml:space="preserve">Opportunity Relevance</t>
  </si>
  <si>
    <t xml:space="preserve">Opportunity Fit</t>
  </si>
  <si>
    <t xml:space="preserve">Category</t>
  </si>
  <si>
    <t xml:space="preserve">Why This Fits</t>
  </si>
  <si>
    <t xml:space="preserve">Executive Role Fit</t>
  </si>
  <si>
    <t xml:space="preserve">Warm Introduction Path</t>
  </si>
  <si>
    <t xml:space="preserve">Outreach Approach</t>
  </si>
  <si>
    <t xml:space="preserve">Key Contacts / Priority Titles</t>
  </si>
  <si>
    <t xml:space="preserve">Compensation Benchmark</t>
  </si>
  <si>
    <t xml:space="preserve">Suggested Search Keywords</t>
  </si>
  <si>
    <t xml:space="preserve">Suggested Job Title Keywords</t>
  </si>
  <si>
    <t xml:space="preserve">Source URL</t>
  </si>
  <si>
    <t xml:space="preserve">Priority Score</t>
  </si>
  <si>
    <t xml:space="preserve">Suggested Priority Rank (1-25)</t>
  </si>
  <si>
    <t xml:space="preserve">Status</t>
  </si>
  <si>
    <t xml:space="preserve">Next Action</t>
  </si>
  <si>
    <t xml:space="preserve">Date Researched</t>
  </si>
  <si>
    <t xml:space="preserve">_GrowthPts</t>
  </si>
  <si>
    <t xml:space="preserve">_HiringPts</t>
  </si>
  <si>
    <t xml:space="preserve">_RecentHiringPts</t>
  </si>
  <si>
    <t xml:space="preserve">_OppRelPts</t>
  </si>
  <si>
    <t xml:space="preserve">_OppFitPts</t>
  </si>
  <si>
    <t xml:space="preserve">_TieBreakRank</t>
  </si>
  <si>
    <t xml:space="preserve">Dragos</t>
  </si>
  <si>
    <t xml:space="preserve">https://www.dragos.com</t>
  </si>
  <si>
    <t xml:space="preserve">https://www.dragos.com/careers/</t>
  </si>
  <si>
    <t xml:space="preserve">OT/ICS Cybersecurity Platform &amp; Services</t>
  </si>
  <si>
    <t xml:space="preserve">Pure-play ICS/OT threat detection, threat intelligence, and incident response</t>
  </si>
  <si>
    <t xml:space="preserve">541512</t>
  </si>
  <si>
    <t xml:space="preserve">Primary</t>
  </si>
  <si>
    <t xml:space="preserve">Named starting point — pure-play ICS/OT cybersecurity vendor named directly on Tom's platform list</t>
  </si>
  <si>
    <t xml:space="preserve">Hanover, MD, USA</t>
  </si>
  <si>
    <t xml:space="preserve">~600 employees</t>
  </si>
  <si>
    <t xml:space="preserve">Privately held (VC-backed, most recent known valuation ~$1.7B) — revenue not publicly disclosed</t>
  </si>
  <si>
    <t xml:space="preserve">High — named a Leader in the 2025 Gartner Magic Quadrant for CPS Protection Platforms per recent industry coverage</t>
  </si>
  <si>
    <t xml:space="preserve">Medium-High</t>
  </si>
  <si>
    <t xml:space="preserve">Not independently verified this pass</t>
  </si>
  <si>
    <t xml:space="preserve">Very High — pure-play ICS/OT leader, direct platform expertise overlap with Tom's background (listed explicitly on his resume)</t>
  </si>
  <si>
    <t xml:space="preserve">High</t>
  </si>
  <si>
    <t xml:space="preserve">Pure-Play OT/ICS Cybersecurity Vendor (Services Arm)</t>
  </si>
  <si>
    <t xml:space="preserve">Dragos is the platform Tom lists first on his resume and the recognized gold-standard pure-play ICS/OT vendor — a top-tier services/advisory leadership target.</t>
  </si>
  <si>
    <t xml:space="preserve">VP / Director, Professional Services (OT/ICS)</t>
  </si>
  <si>
    <t xml:space="preserve">Direct platform familiarity plus LinkedIn 2nd-degree via industry conference contacts (S4, SANS ICS Summit — Dragos CEO Robert M. Lee is a visible community figure)</t>
  </si>
  <si>
    <t xml:space="preserve">Approach via recruiter or direct LinkedIn outreach, referencing hands-on platform experience</t>
  </si>
  <si>
    <t xml:space="preserve">Practice-level title only — no named individual independently confirmed this pass</t>
  </si>
  <si>
    <t xml:space="preserve">Not applicable — privately held (VC-backed); no 10-K/proxy filing</t>
  </si>
  <si>
    <t xml:space="preserve">Dragos professional services, Dragos OT leadership</t>
  </si>
  <si>
    <t xml:space="preserve">VP Professional Services OT, Director ICS Advisory Services</t>
  </si>
  <si>
    <t xml:space="preserve">https://www.dragos.com; general knowledge plus 2026 vendor-comparison coverage found this pass</t>
  </si>
  <si>
    <t xml:space="preserve">August 11, 2026</t>
  </si>
  <si>
    <t xml:space="preserve">Nozomi Networks (Services)</t>
  </si>
  <si>
    <t xml:space="preserve">https://www.nozominetworks.com</t>
  </si>
  <si>
    <t xml:space="preserve">https://www.nozominetworks.com/careers</t>
  </si>
  <si>
    <t xml:space="preserve">OT/IoT network visibility and threat detection platform, plus professional services</t>
  </si>
  <si>
    <t xml:space="preserve">Named starting point — pure-play OT/IoT cybersecurity vendor named directly on Tom's platform list</t>
  </si>
  <si>
    <t xml:space="preserve">San Francisco, CA, USA</t>
  </si>
  <si>
    <t xml:space="preserve">~500 employees</t>
  </si>
  <si>
    <t xml:space="preserve">Privately held (VC-backed) — revenue not publicly disclosed</t>
  </si>
  <si>
    <t xml:space="preserve">High — actively cited as a leading OT security vendor for 2026 in recent industry coverage</t>
  </si>
  <si>
    <t xml:space="preserve">Very High — pure-play OT/IoT leader, direct platform expertise overlap (deployed by Tom at Accenture)</t>
  </si>
  <si>
    <t xml:space="preserve">Nozomi is a platform Tom has hands-on deployment experience with (per his Accenture role) — strong services/advisory leadership fit.</t>
  </si>
  <si>
    <t xml:space="preserve">Direct platform familiarity plus LinkedIn 2nd-degree via industry conference contacts</t>
  </si>
  <si>
    <t xml:space="preserve">Nozomi Networks professional services, Nozomi OT leadership</t>
  </si>
  <si>
    <t xml:space="preserve">VP Professional Services OT, Director OT Advisory Services</t>
  </si>
  <si>
    <t xml:space="preserve">https://www.nozominetworks.com; general knowledge plus 2026 vendor-comparison coverage found this pass</t>
  </si>
  <si>
    <t xml:space="preserve">Claroty (Services)</t>
  </si>
  <si>
    <t xml:space="preserve">https://claroty.com</t>
  </si>
  <si>
    <t xml:space="preserve">https://claroty.com/careers</t>
  </si>
  <si>
    <t xml:space="preserve">Cyber-physical systems (CPS) protection platform, plus professional services</t>
  </si>
  <si>
    <t xml:space="preserve">Named starting point — pure-play CPS/OT cybersecurity vendor named directly on Tom's platform list</t>
  </si>
  <si>
    <t xml:space="preserve">New York, NY, USA</t>
  </si>
  <si>
    <t xml:space="preserve">~700 employees</t>
  </si>
  <si>
    <t xml:space="preserve">Very High — pure-play CPS/OT leader, direct platform expertise overlap (deployed by Tom at Accenture)</t>
  </si>
  <si>
    <t xml:space="preserve">Claroty is a platform Tom has hands-on deployment experience with (per his Accenture role) — strong services/advisory leadership fit.</t>
  </si>
  <si>
    <t xml:space="preserve">Claroty professional services, Claroty OT leadership</t>
  </si>
  <si>
    <t xml:space="preserve">VP Professional Services OT, Director CPS Advisory Services</t>
  </si>
  <si>
    <t xml:space="preserve">https://claroty.com; general knowledge, found in this pass's search results (CB Insights) as a category leader</t>
  </si>
  <si>
    <t xml:space="preserve">EY</t>
  </si>
  <si>
    <t xml:space="preserve">https://www.ey.com</t>
  </si>
  <si>
    <t xml:space="preserve">https://careers.ey.com</t>
  </si>
  <si>
    <t xml:space="preserve">Professional Services / Consulting</t>
  </si>
  <si>
    <t xml:space="preserve">OT cybersecurity consulting for critical infrastructure, energy, and manufacturing</t>
  </si>
  <si>
    <t xml:space="preserve">541611</t>
  </si>
  <si>
    <t xml:space="preserve">Named starting point — Tom's former employer (2016–2020), where he built EY's global OT cybersecurity practice</t>
  </si>
  <si>
    <t xml:space="preserve">London, UK — global (US headquartered operations in multiple cities)</t>
  </si>
  <si>
    <t xml:space="preserve">400,000+ employees globally</t>
  </si>
  <si>
    <t xml:space="preserve">~$51.2B (FY2025, global network revenue, publicly reported)</t>
  </si>
  <si>
    <t xml:space="preserve">High — EY continues investing in cyber risk as part of its broader consulting growth strategy</t>
  </si>
  <si>
    <t xml:space="preserve">Medium</t>
  </si>
  <si>
    <t xml:space="preserve">Very High — direct former employer, practice Tom personally founded and scaled to $10M–30M+</t>
  </si>
  <si>
    <t xml:space="preserve">Former Employer / Direct Alumni Network</t>
  </si>
  <si>
    <t xml:space="preserve">Tom personally founded and scaled EY's global OT cybersecurity practice from zero; strongest warm-network fit on this list.</t>
  </si>
  <si>
    <t xml:space="preserve">Partner / Principal, OT Cybersecurity Consulting</t>
  </si>
  <si>
    <t xml:space="preserve">Direct — former colleagues and practice team Tom built from 2016-2020; strongest warm-intro path on the entire list</t>
  </si>
  <si>
    <t xml:space="preserve">Direct outreach to former EY OT cyber colleagues/leadership; leverage practice he built as a credibility anchor</t>
  </si>
  <si>
    <t xml:space="preserve">Direct alumni network (not independently re-verified this pass — Tom's own contacts are the strongest source here)</t>
  </si>
  <si>
    <t xml:space="preserve">Not applicable — EY is a private partnership and does not file a 10-K/proxy</t>
  </si>
  <si>
    <t xml:space="preserve">EY OT cybersecurity, EY cyber risk industrial, Ernst Young ICS practice</t>
  </si>
  <si>
    <t xml:space="preserve">Partner OT Cybersecurity, Principal Cyber Risk Industrials, OT Security Practice Leader</t>
  </si>
  <si>
    <t xml:space="preserve">https://www.ey.com; Tom's resume (former employer)</t>
  </si>
  <si>
    <t xml:space="preserve">Accenture</t>
  </si>
  <si>
    <t xml:space="preserve">https://www.accenture.com</t>
  </si>
  <si>
    <t xml:space="preserve">https://www.accenture.com/us-en/careers</t>
  </si>
  <si>
    <t xml:space="preserve">Technology &amp; Management Consulting</t>
  </si>
  <si>
    <t xml:space="preserve">OT security integrated with Industry 4.0 / smart-factory digital transformation</t>
  </si>
  <si>
    <t xml:space="preserve">Named starting point — Tom's former employer (2021–2022), built and scaled Accenture's global OT cybersecurity capability</t>
  </si>
  <si>
    <t xml:space="preserve">Dublin, Ireland — global (major US operations)</t>
  </si>
  <si>
    <t xml:space="preserve">775,000+ employees globally</t>
  </si>
  <si>
    <t xml:space="preserve">~$69.7B (FY2025, publicly traded, NYSE: ACN)</t>
  </si>
  <si>
    <t xml:space="preserve">High — Accenture's security practice continues to grow alongside AI and cloud-OT integration demand</t>
  </si>
  <si>
    <t xml:space="preserve">Very High — direct former employer; Tom personally scaled the OT security capability here</t>
  </si>
  <si>
    <t xml:space="preserve">Tom built and scaled Accenture's global OT cybersecurity capability from a limited footprint; strong warm-network fit and public-company target with 10-K/proxy visibility.</t>
  </si>
  <si>
    <t xml:space="preserve">Managing Director, Security (OT/ICS)</t>
  </si>
  <si>
    <t xml:space="preserve">Direct — former colleagues from 2021-2022 tenure</t>
  </si>
  <si>
    <t xml:space="preserve">Direct outreach to former Accenture Security colleagues/leadership</t>
  </si>
  <si>
    <t xml:space="preserve">Practice-level: Global Security Lead / Managing Director, OT Security (per FY2025 10-K, Accenture's proxy discloses executive officers but does not name a company-wide CISO as a Named Executive Officer)</t>
  </si>
  <si>
    <t xml:space="preserve">Not a Named Executive Officer — not disclosed in Accenture's FY2025 proxy Summary Compensation Table (security/OT leadership roles below NEO threshold)</t>
  </si>
  <si>
    <t xml:space="preserve">Accenture OT security, Accenture Security industrial, Accenture ICS practice</t>
  </si>
  <si>
    <t xml:space="preserve">Managing Director Security OT, Senior Manager OT Cybersecurity</t>
  </si>
  <si>
    <t xml:space="preserve">https://www.accenture.com; Tom's resume (former employer); Accenture FY2025 proxy general knowledge, not independently re-verified this pass</t>
  </si>
  <si>
    <t xml:space="preserve">Schneider Electric</t>
  </si>
  <si>
    <t xml:space="preserve">https://www.se.com</t>
  </si>
  <si>
    <t xml:space="preserve">https://www.se.com/us/en/about-us/careers/</t>
  </si>
  <si>
    <t xml:space="preserve">Industrial Automation / Energy Management</t>
  </si>
  <si>
    <t xml:space="preserve">Global OT cybersecurity advisory services tied to Schneider's automation and energy management portfolio</t>
  </si>
  <si>
    <t xml:space="preserve">541690</t>
  </si>
  <si>
    <t xml:space="preserve">Named starting point — Tom's former employer (2014–2016), where he launched and directed Schneider's global OT cybersecurity advisory practice</t>
  </si>
  <si>
    <t xml:space="preserve">Rueil-Malmaison, France — global</t>
  </si>
  <si>
    <t xml:space="preserve">150,000+ employees globally</t>
  </si>
  <si>
    <t xml:space="preserve">~€38.1B (FY2025, publicly traded, Euronext Paris: SU)</t>
  </si>
  <si>
    <t xml:space="preserve">Very High — direct former employer where Tom held both Principal Consultant and Director-level roles and had full P&amp;L accountability</t>
  </si>
  <si>
    <t xml:space="preserve">Tom launched and directed Schneider Electric's global OT cybersecurity advisory practice with full P&amp;L accountability — one of the strongest warm-network fits on this list.</t>
  </si>
  <si>
    <t xml:space="preserve">Director, Global OT Cybersecurity Advisory Services (the role Tom previously held)</t>
  </si>
  <si>
    <t xml:space="preserve">Direct — former colleagues and practice team Tom built and led 2014-2016</t>
  </si>
  <si>
    <t xml:space="preserve">Direct outreach to former Schneider Electric OT cyber colleagues/leadership; leverage practice he personally launched</t>
  </si>
  <si>
    <t xml:space="preserve">Direct alumni network (not independently re-verified this pass)</t>
  </si>
  <si>
    <t xml:space="preserve">Not independently verified this pass — France-listed (Euronext Paris), governance disclosure differs from US 10-K/proxy format</t>
  </si>
  <si>
    <t xml:space="preserve">Schneider Electric OT cybersecurity, Schneider Electric advisory services</t>
  </si>
  <si>
    <t xml:space="preserve">Director Global OT Cybersecurity Advisory, VP Industrial Cybersecurity</t>
  </si>
  <si>
    <t xml:space="preserve">https://www.se.com; Tom's resume (former employer)</t>
  </si>
  <si>
    <t xml:space="preserve">Booz Allen Hamilton</t>
  </si>
  <si>
    <t xml:space="preserve">https://www.boozallen.com</t>
  </si>
  <si>
    <t xml:space="preserve">https://www.boozallen.com/careers.html</t>
  </si>
  <si>
    <t xml:space="preserve">Management &amp; Technology Consulting</t>
  </si>
  <si>
    <t xml:space="preserve">OT cybersecurity for federal, defense, and critical infrastructure clients</t>
  </si>
  <si>
    <t xml:space="preserve">Named starting point — Tom's current/most recent employer (2025–2026), Senior Manager OT Cybersecurity / Health &amp; Life Sciences</t>
  </si>
  <si>
    <t xml:space="preserve">McLean, VA, USA</t>
  </si>
  <si>
    <t xml:space="preserve">35,000+ employees</t>
  </si>
  <si>
    <t xml:space="preserve">~$12.0B (FY2025, publicly traded, NYSE: BAH)</t>
  </si>
  <si>
    <t xml:space="preserve">High — strong federal/defense demand for OT and mission-assurance cybersecurity</t>
  </si>
  <si>
    <t xml:space="preserve">Very High — current/most recent employer, direct continuity for OT cybersecurity leadership roles</t>
  </si>
  <si>
    <t xml:space="preserve">Tom's current/most recent employer — direct continuity and internal network for OT cybersecurity leadership roles.</t>
  </si>
  <si>
    <t xml:space="preserve">Senior Manager / Director, OT Cybersecurity</t>
  </si>
  <si>
    <t xml:space="preserve">Direct — current internal network</t>
  </si>
  <si>
    <t xml:space="preserve">Direct internal conversation with current leadership about advancement or lateral OT-focused roles</t>
  </si>
  <si>
    <t xml:space="preserve">Direct — Tom's own current management chain (not independently re-verified this pass)</t>
  </si>
  <si>
    <t xml:space="preserve">Not a Named Executive Officer — not disclosed in Booz Allen's most recent proxy Summary Compensation Table</t>
  </si>
  <si>
    <t xml:space="preserve">Booz Allen OT cybersecurity, Booz Allen ICS federal</t>
  </si>
  <si>
    <t xml:space="preserve">Director OT Cybersecurity, Senior Manager Industrial Security</t>
  </si>
  <si>
    <t xml:space="preserve">https://www.boozallen.com; Tom's resume (current/most recent employer)</t>
  </si>
  <si>
    <t xml:space="preserve">Honeywell OT Cybersecurity</t>
  </si>
  <si>
    <t xml:space="preserve">https://www.honeywell.com/us/en/services/cybersecurity</t>
  </si>
  <si>
    <t xml:space="preserve">https://careers.honeywell.com</t>
  </si>
  <si>
    <t xml:space="preserve">Industrial Automation / OT Security</t>
  </si>
  <si>
    <t xml:space="preserve">OT cybersecurity services tied to Honeywell's own automation and process control installed base</t>
  </si>
  <si>
    <t xml:space="preserve">Named starting point — Honeywell's dedicated OT cybersecurity services division</t>
  </si>
  <si>
    <t xml:space="preserve">Charlotte, NC, USA</t>
  </si>
  <si>
    <t xml:space="preserve">95,000+ employees (Honeywell overall)</t>
  </si>
  <si>
    <t xml:space="preserve">~$38.5B (FY2025, publicly traded, Nasdaq: HON, overall company)</t>
  </si>
  <si>
    <t xml:space="preserve">High — OT cybersecurity is a stated growth priority tied to Honeywell's automation/process solutions segment</t>
  </si>
  <si>
    <t xml:space="preserve">High — vendor-native OT security services with deep process-control domain expertise, aligned with Tom's Purdue Model/segmentation background</t>
  </si>
  <si>
    <t xml:space="preserve">OT Vendor / Automation Company Security Arm</t>
  </si>
  <si>
    <t xml:space="preserve">Honeywell's OT cybersecurity services division offers deep process-control domain fluency that matches Tom's engineering-grounded OT background.</t>
  </si>
  <si>
    <t xml:space="preserve">Director / Global Practice Leader, OT Cybersecurity Services</t>
  </si>
  <si>
    <t xml:space="preserve">LinkedIn 2nd-degree via industry conference contacts (Honeywell Users Group, ARC Forum)</t>
  </si>
  <si>
    <t xml:space="preserve">Approach via recruiter or LinkedIn outreach to Honeywell Cybersecurity leadership</t>
  </si>
  <si>
    <t xml:space="preserve">Named CISO/security officer per FY2025 10-K Item 1C disclosure (enterprise-wide, not OT-services-specific) — not independently re-verified this pass</t>
  </si>
  <si>
    <t xml:space="preserve">Not a Named Executive Officer — not disclosed in Honeywell's most recent proxy Summary Compensation Table</t>
  </si>
  <si>
    <t xml:space="preserve">Honeywell OT cybersecurity, Honeywell industrial security services</t>
  </si>
  <si>
    <t xml:space="preserve">Director OT Cybersecurity Services, Global Practice Leader Industrial Security</t>
  </si>
  <si>
    <t xml:space="preserve">https://www.honeywell.com; general knowledge, not independently re-verified via search this pass</t>
  </si>
  <si>
    <t xml:space="preserve">Deloitte</t>
  </si>
  <si>
    <t xml:space="preserve">https://www2.deloitte.com</t>
  </si>
  <si>
    <t xml:space="preserve">New York, NY, USA — global</t>
  </si>
  <si>
    <t xml:space="preserve">Global Big 4 / Major Consulting</t>
  </si>
  <si>
    <t xml:space="preserve">https://www2.deloitte.com; general knowledge, not independently re-verified via search this pass</t>
  </si>
  <si>
    <t xml:space="preserve">KPMG</t>
  </si>
  <si>
    <t xml:space="preserve">https://kpmg.com</t>
  </si>
  <si>
    <t xml:space="preserve">Amstelveen, Netherlands — global</t>
  </si>
  <si>
    <t xml:space="preserve">275,000+ employees globally</t>
  </si>
  <si>
    <t xml:space="preserve">https://kpmg.com; general knowledge</t>
  </si>
  <si>
    <t xml:space="preserve">PwC</t>
  </si>
  <si>
    <t xml:space="preserve">https://www.pwc.com</t>
  </si>
  <si>
    <t xml:space="preserve">London, UK — global</t>
  </si>
  <si>
    <t xml:space="preserve">370,000+ employees globally</t>
  </si>
  <si>
    <t xml:space="preserve">https://www.pwc.com; general knowledge</t>
  </si>
  <si>
    <t xml:space="preserve">IBM</t>
  </si>
  <si>
    <t xml:space="preserve">https://www.ibm.com</t>
  </si>
  <si>
    <t xml:space="preserve">Technology / IT Consulting</t>
  </si>
  <si>
    <t xml:space="preserve">Armonk, NY, USA</t>
  </si>
  <si>
    <t xml:space="preserve">280,000+ employees globally</t>
  </si>
  <si>
    <t xml:space="preserve">Global Technology / IT Consulting</t>
  </si>
  <si>
    <t xml:space="preserve">https://www.ibm.com; general knowledge, not independently re-verified via search this pass</t>
  </si>
  <si>
    <t xml:space="preserve">Siemens (incl. Siemens Energy / Advanta)</t>
  </si>
  <si>
    <t xml:space="preserve">https://www.siemens.com</t>
  </si>
  <si>
    <t xml:space="preserve">Industrial Automation / Engineering</t>
  </si>
  <si>
    <t xml:space="preserve">Munich, Germany — global</t>
  </si>
  <si>
    <t xml:space="preserve">320,000+ employees globally (Siemens overall)</t>
  </si>
  <si>
    <t xml:space="preserve">https://www.siemens.com; general knowledge</t>
  </si>
  <si>
    <t xml:space="preserve">Rockwell Automation</t>
  </si>
  <si>
    <t xml:space="preserve">https://www.rockwellautomation.com</t>
  </si>
  <si>
    <t xml:space="preserve">Industrial Automation</t>
  </si>
  <si>
    <t xml:space="preserve">Milwaukee, WI, USA</t>
  </si>
  <si>
    <t xml:space="preserve">29,000+ employees</t>
  </si>
  <si>
    <t xml:space="preserve">https://www.rockwellautomation.com; general knowledge, not independently re-verified via search this pass</t>
  </si>
  <si>
    <t xml:space="preserve">ABB</t>
  </si>
  <si>
    <t xml:space="preserve">https://global.abb</t>
  </si>
  <si>
    <t xml:space="preserve">Industrial Automation / Electrification</t>
  </si>
  <si>
    <t xml:space="preserve">Zurich, Switzerland — global</t>
  </si>
  <si>
    <t xml:space="preserve">110,000+ employees globally</t>
  </si>
  <si>
    <t xml:space="preserve">https://global.abb; general knowledge</t>
  </si>
  <si>
    <t xml:space="preserve">Yokogawa</t>
  </si>
  <si>
    <t xml:space="preserve">https://www.yokogawa.com</t>
  </si>
  <si>
    <t xml:space="preserve">Tokyo, Japan — global</t>
  </si>
  <si>
    <t xml:space="preserve">18,000+ employees globally</t>
  </si>
  <si>
    <t xml:space="preserve">https://www.yokogawa.com; general knowledge</t>
  </si>
  <si>
    <t xml:space="preserve">Emerson</t>
  </si>
  <si>
    <t xml:space="preserve">https://www.emerson.com</t>
  </si>
  <si>
    <t xml:space="preserve">St. Louis, MO, USA</t>
  </si>
  <si>
    <t xml:space="preserve">59,000+ employees</t>
  </si>
  <si>
    <t xml:space="preserve">https://www.emerson.com; general knowledge, not independently re-verified via search this pass</t>
  </si>
  <si>
    <t xml:space="preserve">1898 &amp; Co. (Burns &amp; McDonnell)</t>
  </si>
  <si>
    <t xml:space="preserve">https://1898andco.burnsmcd.com</t>
  </si>
  <si>
    <t xml:space="preserve">Engineering &amp; Consulting</t>
  </si>
  <si>
    <t xml:space="preserve">Kansas City, MO, USA (parent Burns &amp; McDonnell)</t>
  </si>
  <si>
    <t xml:space="preserve">1898 &amp; Co. is a business unit; Burns &amp; McDonnell overall has 13,000+ employees</t>
  </si>
  <si>
    <t xml:space="preserve">Engineering / Process Safety Firm with OT Security Practice</t>
  </si>
  <si>
    <t xml:space="preserve">https://1898andco.burnsmcd.com; general knowledge</t>
  </si>
  <si>
    <t xml:space="preserve">ABS Group</t>
  </si>
  <si>
    <t xml:space="preserve">https://www.abs-group.com</t>
  </si>
  <si>
    <t xml:space="preserve">Risk &amp; Safety Consulting</t>
  </si>
  <si>
    <t xml:space="preserve">Spring, TX, USA</t>
  </si>
  <si>
    <t xml:space="preserve">~1,600 employees</t>
  </si>
  <si>
    <t xml:space="preserve">https://www.abs-group.com; general knowledge</t>
  </si>
  <si>
    <t xml:space="preserve">Optiv</t>
  </si>
  <si>
    <t xml:space="preserve">https://www.optiv.com</t>
  </si>
  <si>
    <t xml:space="preserve">Cybersecurity Solutions &amp; Services</t>
  </si>
  <si>
    <t xml:space="preserve">Denver, CO, USA</t>
  </si>
  <si>
    <t xml:space="preserve">~2,500 employees</t>
  </si>
  <si>
    <t xml:space="preserve">Cybersecurity Advisory / Pure-Play Security Firm</t>
  </si>
  <si>
    <t xml:space="preserve">https://www.optiv.com; general knowledge, revenue estimate unverified this pass</t>
  </si>
  <si>
    <t xml:space="preserve">NCC Group</t>
  </si>
  <si>
    <t xml:space="preserve">https://www.nccgroup.com</t>
  </si>
  <si>
    <t xml:space="preserve">Cybersecurity Consulting</t>
  </si>
  <si>
    <t xml:space="preserve">Manchester, UK — global</t>
  </si>
  <si>
    <t xml:space="preserve">~2,200 employees</t>
  </si>
  <si>
    <t xml:space="preserve">https://www.nccgroup.com; general knowledge</t>
  </si>
  <si>
    <t xml:space="preserve">Ampyx Cyber / ICS Advisory Project</t>
  </si>
  <si>
    <t xml:space="preserve">https://ampyxcyber.com</t>
  </si>
  <si>
    <t xml:space="preserve">OT/ICS Cybersecurity Consulting</t>
  </si>
  <si>
    <t xml:space="preserve">Portland, OR, USA (North America and Europe operations)</t>
  </si>
  <si>
    <t xml:space="preserve">~40-60 employees (est., boutique firm)</t>
  </si>
  <si>
    <t xml:space="preserve">Boutique Pure-Play OT/ICS Consultancy</t>
  </si>
  <si>
    <t xml:space="preserve">https://ampyxcyber.com; industrialcyber.co vendor profile and CB Insights company profile, found this pass</t>
  </si>
  <si>
    <t xml:space="preserve">RED Group</t>
  </si>
  <si>
    <t xml:space="preserve">https://red.group</t>
  </si>
  <si>
    <t xml:space="preserve">ICS Technology Integration &amp; Consulting</t>
  </si>
  <si>
    <t xml:space="preserve">New Orleans, LA / Houston, TX, USA</t>
  </si>
  <si>
    <t xml:space="preserve">Small-mid (regional firm, exact headcount not independently confirmed)</t>
  </si>
  <si>
    <t xml:space="preserve">https://red.group/careers/ot-ics-cybersecurity-consultant/, found this pass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</si>
</sst>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1B6FA8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2D3D"/>
        <bgColor rgb="FF333333"/>
      </patternFill>
    </fill>
    <fill>
      <patternFill patternType="solid">
        <fgColor rgb="FFF2F6F8"/>
        <bgColor rgb="FFFFFFFF"/>
      </patternFill>
    </fill>
    <fill>
      <patternFill patternType="solid">
        <fgColor rgb="FFC6E8C6"/>
        <bgColor rgb="FFD7E0E5"/>
      </patternFill>
    </fill>
    <fill>
      <patternFill patternType="solid">
        <fgColor rgb="FFE2EFC0"/>
        <bgColor rgb="FFC6E8C6"/>
      </patternFill>
    </fill>
    <fill>
      <patternFill patternType="solid">
        <fgColor rgb="FFA9D8A9"/>
        <bgColor rgb="FFC6E8C6"/>
      </patternFill>
    </fill>
    <fill>
      <patternFill patternType="solid">
        <fgColor rgb="FFFFF9E0"/>
        <bgColor rgb="FFF2F6F8"/>
      </patternFill>
    </fill>
    <fill>
      <patternFill patternType="solid">
        <fgColor rgb="FFFFF2B2"/>
        <bgColor rgb="FFFFF9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E0E5"/>
      </left>
      <right style="thin">
        <color rgb="FFD7E0E5"/>
      </right>
      <top style="thin">
        <color rgb="FFD7E0E5"/>
      </top>
      <bottom style="thin">
        <color rgb="FFD7E0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0F2D3D"/>
          <bgColor rgb="FF000000"/>
        </patternFill>
      </fill>
    </dxf>
    <dxf>
      <fill>
        <patternFill patternType="solid">
          <fgColor rgb="FFF2F6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B6FA8"/>
          <bgColor rgb="FF000000"/>
        </patternFill>
      </fill>
    </dxf>
    <dxf>
      <fill>
        <patternFill patternType="solid">
          <fgColor rgb="FFC6E8C6"/>
          <bgColor rgb="FF000000"/>
        </patternFill>
      </fill>
    </dxf>
    <dxf>
      <fill>
        <patternFill patternType="solid">
          <fgColor rgb="FFE2EFC0"/>
          <bgColor rgb="FF000000"/>
        </patternFill>
      </fill>
    </dxf>
    <dxf>
      <fill>
        <patternFill patternType="solid">
          <fgColor rgb="FFFFF2B2"/>
          <bgColor rgb="FF000000"/>
        </patternFill>
      </fill>
    </dxf>
    <dxf>
      <fill>
        <patternFill patternType="solid">
          <fgColor rgb="FFA9D8A9"/>
          <bgColor rgb="FF000000"/>
        </patternFill>
      </fill>
    </dxf>
    <dxf>
      <fill>
        <patternFill patternType="solid">
          <fgColor rgb="FFFFF9E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A9D8A9"/>
        </patternFill>
      </fill>
    </dxf>
    <dxf>
      <fill>
        <patternFill>
          <bgColor rgb="FFC6E8C6"/>
        </patternFill>
      </fill>
    </dxf>
    <dxf>
      <fill>
        <patternFill>
          <bgColor rgb="FFE2EFC0"/>
        </patternFill>
      </fill>
    </dxf>
    <dxf>
      <fill>
        <patternFill>
          <bgColor rgb="FFFFF2B2"/>
        </patternFill>
      </fill>
    </dxf>
    <dxf>
      <fill>
        <patternFill>
          <bgColor rgb="FFFBDCB8"/>
        </patternFill>
      </fill>
    </dxf>
    <dxf>
      <fill>
        <patternFill>
          <bgColor rgb="FFF4C7C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8A9"/>
      <rgbColor rgb="FF808080"/>
      <rgbColor rgb="FF9999FF"/>
      <rgbColor rgb="FF993366"/>
      <rgbColor rgb="FFFFF9E0"/>
      <rgbColor rgb="FFF2F6F8"/>
      <rgbColor rgb="FF660066"/>
      <rgbColor rgb="FFFF8080"/>
      <rgbColor rgb="FF1B6FA8"/>
      <rgbColor rgb="FFD7E0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8C6"/>
      <rgbColor rgb="FFE2EFC0"/>
      <rgbColor rgb="FFFFF2B2"/>
      <rgbColor rgb="FF99CCFF"/>
      <rgbColor rgb="FFFBDCB8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2D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dragos.com/" TargetMode="External"/><Relationship Id="rId3" Type="http://schemas.openxmlformats.org/officeDocument/2006/relationships/hyperlink" Target="https://www.dragos.com/careers/" TargetMode="External"/><Relationship Id="rId4" Type="http://schemas.openxmlformats.org/officeDocument/2006/relationships/hyperlink" Target="https://www.nozominetworks.com/" TargetMode="External"/><Relationship Id="rId5" Type="http://schemas.openxmlformats.org/officeDocument/2006/relationships/hyperlink" Target="https://www.nozominetworks.com/careers" TargetMode="External"/><Relationship Id="rId6" Type="http://schemas.openxmlformats.org/officeDocument/2006/relationships/hyperlink" Target="https://claroty.com/" TargetMode="External"/><Relationship Id="rId7" Type="http://schemas.openxmlformats.org/officeDocument/2006/relationships/hyperlink" Target="https://claroty.com/careers" TargetMode="External"/><Relationship Id="rId8" Type="http://schemas.openxmlformats.org/officeDocument/2006/relationships/hyperlink" Target="https://www.ey.com/" TargetMode="External"/><Relationship Id="rId9" Type="http://schemas.openxmlformats.org/officeDocument/2006/relationships/hyperlink" Target="https://careers.ey.com/" TargetMode="External"/><Relationship Id="rId10" Type="http://schemas.openxmlformats.org/officeDocument/2006/relationships/hyperlink" Target="https://www.accenture.com/" TargetMode="External"/><Relationship Id="rId11" Type="http://schemas.openxmlformats.org/officeDocument/2006/relationships/hyperlink" Target="https://www.accenture.com/us-en/careers" TargetMode="External"/><Relationship Id="rId12" Type="http://schemas.openxmlformats.org/officeDocument/2006/relationships/hyperlink" Target="https://www.se.com/" TargetMode="External"/><Relationship Id="rId13" Type="http://schemas.openxmlformats.org/officeDocument/2006/relationships/hyperlink" Target="https://www.se.com/us/en/about-us/careers/" TargetMode="External"/><Relationship Id="rId14" Type="http://schemas.openxmlformats.org/officeDocument/2006/relationships/hyperlink" Target="https://www.boozallen.com/" TargetMode="External"/><Relationship Id="rId15" Type="http://schemas.openxmlformats.org/officeDocument/2006/relationships/hyperlink" Target="https://www.boozallen.com/careers.html" TargetMode="External"/><Relationship Id="rId16" Type="http://schemas.openxmlformats.org/officeDocument/2006/relationships/hyperlink" Target="https://www.honeywell.com/us/en/services/cybersecurity" TargetMode="External"/><Relationship Id="rId17" Type="http://schemas.openxmlformats.org/officeDocument/2006/relationships/hyperlink" Target="https://careers.honeywell.com/" TargetMode="External"/><Relationship Id="rId18" Type="http://schemas.openxmlformats.org/officeDocument/2006/relationships/drawing" Target="../drawings/drawing1.xml"/><Relationship Id="rId19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2.deloitte.com/" TargetMode="External"/><Relationship Id="rId2" Type="http://schemas.openxmlformats.org/officeDocument/2006/relationships/hyperlink" Target="https://kpmg.com/" TargetMode="External"/><Relationship Id="rId3" Type="http://schemas.openxmlformats.org/officeDocument/2006/relationships/hyperlink" Target="https://www.pwc.com/" TargetMode="External"/><Relationship Id="rId4" Type="http://schemas.openxmlformats.org/officeDocument/2006/relationships/hyperlink" Target="https://www.ibm.com/" TargetMode="External"/><Relationship Id="rId5" Type="http://schemas.openxmlformats.org/officeDocument/2006/relationships/hyperlink" Target="https://www.siemens.com/" TargetMode="External"/><Relationship Id="rId6" Type="http://schemas.openxmlformats.org/officeDocument/2006/relationships/hyperlink" Target="https://www.rockwellautomation.com/" TargetMode="External"/><Relationship Id="rId7" Type="http://schemas.openxmlformats.org/officeDocument/2006/relationships/hyperlink" Target="https://global.abb/" TargetMode="External"/><Relationship Id="rId8" Type="http://schemas.openxmlformats.org/officeDocument/2006/relationships/hyperlink" Target="https://www.yokogawa.com/" TargetMode="External"/><Relationship Id="rId9" Type="http://schemas.openxmlformats.org/officeDocument/2006/relationships/hyperlink" Target="https://www.emerson.com/" TargetMode="External"/><Relationship Id="rId10" Type="http://schemas.openxmlformats.org/officeDocument/2006/relationships/hyperlink" Target="https://1898andco.burnsmcd.com/" TargetMode="External"/><Relationship Id="rId11" Type="http://schemas.openxmlformats.org/officeDocument/2006/relationships/hyperlink" Target="https://www.abs-group.com/" TargetMode="External"/><Relationship Id="rId12" Type="http://schemas.openxmlformats.org/officeDocument/2006/relationships/hyperlink" Target="https://www.optiv.com/" TargetMode="External"/><Relationship Id="rId13" Type="http://schemas.openxmlformats.org/officeDocument/2006/relationships/hyperlink" Target="https://www.nccgroup.com/" TargetMode="External"/><Relationship Id="rId14" Type="http://schemas.openxmlformats.org/officeDocument/2006/relationships/hyperlink" Target="https://ampyxcyber.com/" TargetMode="External"/><Relationship Id="rId15" Type="http://schemas.openxmlformats.org/officeDocument/2006/relationships/hyperlink" Target="https://red.group/" TargetMode="External"/><Relationship Id="rId16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4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7" min="7" style="0" width="13"/>
    <col collapsed="false" customWidth="true" hidden="false" outlineLevel="0" max="8" min="8" style="0" width="40"/>
    <col collapsed="false" customWidth="true" hidden="false" outlineLevel="0" max="9" min="9" style="0" width="26"/>
    <col collapsed="false" customWidth="true" hidden="false" outlineLevel="0" max="10" min="10" style="0" width="24"/>
    <col collapsed="false" customWidth="true" hidden="false" outlineLevel="0" max="14" min="11" style="0" width="34"/>
    <col collapsed="false" customWidth="true" hidden="false" outlineLevel="0" max="15" min="15" style="0" width="20"/>
    <col collapsed="false" customWidth="true" hidden="false" outlineLevel="0" max="16" min="16" style="0" width="30"/>
    <col collapsed="false" customWidth="true" hidden="false" outlineLevel="0" max="17" min="17" style="0" width="12"/>
    <col collapsed="false" customWidth="true" hidden="false" outlineLevel="0" max="18" min="18" style="0" width="28"/>
    <col collapsed="false" customWidth="true" hidden="false" outlineLevel="0" max="19" min="19" style="0" width="40"/>
    <col collapsed="false" customWidth="true" hidden="false" outlineLevel="0" max="20" min="20" style="0" width="26"/>
    <col collapsed="false" customWidth="true" hidden="false" outlineLevel="0" max="23" min="21" style="0" width="34"/>
    <col collapsed="false" customWidth="true" hidden="false" outlineLevel="0" max="24" min="24" style="0" width="30"/>
    <col collapsed="false" customWidth="true" hidden="false" outlineLevel="0" max="25" min="25" style="0" width="26"/>
    <col collapsed="false" customWidth="true" hidden="false" outlineLevel="0" max="26" min="26" style="0" width="30"/>
    <col collapsed="false" customWidth="true" hidden="false" outlineLevel="0" max="27" min="27" style="0" width="34"/>
    <col collapsed="false" customWidth="true" hidden="false" outlineLevel="0" max="28" min="28" style="0" width="12"/>
    <col collapsed="false" customWidth="true" hidden="false" outlineLevel="0" max="30" min="29" style="0" width="14"/>
    <col collapsed="false" customWidth="true" hidden="false" outlineLevel="0" max="31" min="31" style="0" width="24"/>
    <col collapsed="false" customWidth="true" hidden="false" outlineLevel="0" max="32" min="32" style="0" width="14"/>
    <col collapsed="false" customWidth="true" hidden="true" outlineLevel="0" max="38" min="33" style="0" width="13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customFormat="false" ht="57.45" hidden="false" customHeight="false" outlineLevel="0" collapsed="false">
      <c r="A2" s="2" t="s">
        <v>38</v>
      </c>
      <c r="B2" s="3" t="s">
        <v>39</v>
      </c>
      <c r="C2" s="3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48</v>
      </c>
      <c r="L2" s="4" t="s">
        <v>49</v>
      </c>
      <c r="M2" s="5" t="s">
        <v>50</v>
      </c>
      <c r="N2" s="6" t="s">
        <v>51</v>
      </c>
      <c r="O2" s="2"/>
      <c r="P2" s="7" t="s">
        <v>52</v>
      </c>
      <c r="Q2" s="4" t="s">
        <v>53</v>
      </c>
      <c r="R2" s="2" t="s">
        <v>54</v>
      </c>
      <c r="S2" s="2" t="s">
        <v>55</v>
      </c>
      <c r="T2" s="2" t="s">
        <v>56</v>
      </c>
      <c r="U2" s="2" t="s">
        <v>57</v>
      </c>
      <c r="V2" s="2" t="s">
        <v>58</v>
      </c>
      <c r="W2" s="2" t="s">
        <v>59</v>
      </c>
      <c r="X2" s="2" t="s">
        <v>60</v>
      </c>
      <c r="Y2" s="2" t="s">
        <v>61</v>
      </c>
      <c r="Z2" s="2" t="s">
        <v>62</v>
      </c>
      <c r="AA2" s="2" t="s">
        <v>63</v>
      </c>
      <c r="AB2" s="8"/>
      <c r="AC2" s="9" t="n">
        <f aca="false">ROUND((AK2*2)+(AJ2*2)+AVERAGE(AG2,AH2,AI2),1)</f>
        <v>20.5</v>
      </c>
      <c r="AD2" s="8"/>
      <c r="AE2" s="8"/>
      <c r="AF2" s="2" t="s">
        <v>64</v>
      </c>
      <c r="AG2" s="10" t="n">
        <f aca="false">IF(ISNUMBER(SEARCH("Very High",L2)),5,IF(ISNUMBER(SEARCH("Medium-High",L2)),3.5,IF(ISNUMBER(SEARCH("Low-Medium",L2)),2,IF(ISNUMBER(SEARCH("High",L2)),4,IF(ISNUMBER(SEARCH("Medium",L2)),3,IF(ISNUMBER(SEARCH("Low",L2)),1,0))))))</f>
        <v>4</v>
      </c>
      <c r="AH2" s="10" t="n">
        <f aca="false">IF(ISNUMBER(SEARCH("Very High",M2)),5,IF(ISNUMBER(SEARCH("Medium-High",M2)),3.5,IF(ISNUMBER(SEARCH("Low-Medium",M2)),2,IF(ISNUMBER(SEARCH("High",M2)),4,IF(ISNUMBER(SEARCH("Medium",M2)),3,IF(ISNUMBER(SEARCH("Low",M2)),1,0))))))</f>
        <v>3.5</v>
      </c>
      <c r="AI2" s="10" t="n">
        <f aca="false">IF(ISNUMBER(SEARCH("Very High",N2)),5,IF(ISNUMBER(SEARCH("Medium-High",N2)),3.5,IF(ISNUMBER(SEARCH("Low-Medium",N2)),2,IF(ISNUMBER(SEARCH("High",N2)),4,IF(ISNUMBER(SEARCH("Medium",N2)),3,IF(ISNUMBER(SEARCH("Low",N2)),1,0))))))</f>
        <v>0</v>
      </c>
      <c r="AJ2" s="10" t="n">
        <f aca="false">IF(ISNUMBER(SEARCH("Very High",P2)),5,IF(ISNUMBER(SEARCH("Medium-High",P2)),3.5,IF(ISNUMBER(SEARCH("Low-Medium",P2)),2,IF(ISNUMBER(SEARCH("High",P2)),4,IF(ISNUMBER(SEARCH("Medium",P2)),3,IF(ISNUMBER(SEARCH("Low",P2)),1,0))))))</f>
        <v>5</v>
      </c>
      <c r="AK2" s="10" t="n">
        <f aca="false">IF(ISNUMBER(SEARCH("Very High",Q2)),5,IF(ISNUMBER(SEARCH("Medium-High",Q2)),3.5,IF(ISNUMBER(SEARCH("Low-Medium",Q2)),2,IF(ISNUMBER(SEARCH("High",Q2)),4,IF(ISNUMBER(SEARCH("Medium",Q2)),3,IF(ISNUMBER(SEARCH("Low",Q2)),1,0))))))</f>
        <v>4</v>
      </c>
      <c r="AL2" s="10" t="n">
        <f aca="false">AC2+ROW()/10000000</f>
        <v>20.5000002</v>
      </c>
    </row>
    <row r="3" customFormat="false" ht="46.25" hidden="false" customHeight="false" outlineLevel="0" collapsed="false">
      <c r="A3" s="6" t="s">
        <v>65</v>
      </c>
      <c r="B3" s="11" t="s">
        <v>66</v>
      </c>
      <c r="C3" s="11" t="s">
        <v>67</v>
      </c>
      <c r="D3" s="6" t="s">
        <v>41</v>
      </c>
      <c r="E3" s="6" t="s">
        <v>68</v>
      </c>
      <c r="F3" s="6" t="s">
        <v>43</v>
      </c>
      <c r="G3" s="6" t="s">
        <v>44</v>
      </c>
      <c r="H3" s="6" t="s">
        <v>69</v>
      </c>
      <c r="I3" s="6" t="s">
        <v>70</v>
      </c>
      <c r="J3" s="6" t="s">
        <v>71</v>
      </c>
      <c r="K3" s="6" t="s">
        <v>72</v>
      </c>
      <c r="L3" s="4" t="s">
        <v>73</v>
      </c>
      <c r="M3" s="5" t="s">
        <v>50</v>
      </c>
      <c r="N3" s="6" t="s">
        <v>51</v>
      </c>
      <c r="O3" s="6"/>
      <c r="P3" s="7" t="s">
        <v>74</v>
      </c>
      <c r="Q3" s="4" t="s">
        <v>53</v>
      </c>
      <c r="R3" s="6" t="s">
        <v>54</v>
      </c>
      <c r="S3" s="6" t="s">
        <v>75</v>
      </c>
      <c r="T3" s="6" t="s">
        <v>56</v>
      </c>
      <c r="U3" s="6" t="s">
        <v>76</v>
      </c>
      <c r="V3" s="6" t="s">
        <v>58</v>
      </c>
      <c r="W3" s="6" t="s">
        <v>59</v>
      </c>
      <c r="X3" s="6" t="s">
        <v>60</v>
      </c>
      <c r="Y3" s="6" t="s">
        <v>77</v>
      </c>
      <c r="Z3" s="6" t="s">
        <v>78</v>
      </c>
      <c r="AA3" s="6" t="s">
        <v>79</v>
      </c>
      <c r="AB3" s="8"/>
      <c r="AC3" s="12" t="n">
        <f aca="false">ROUND((AK3*2)+(AJ3*2)+AVERAGE(AG3,AH3,AI3),1)</f>
        <v>20.5</v>
      </c>
      <c r="AD3" s="8"/>
      <c r="AE3" s="8"/>
      <c r="AF3" s="6" t="s">
        <v>64</v>
      </c>
      <c r="AG3" s="10" t="n">
        <f aca="false">IF(ISNUMBER(SEARCH("Very High",L3)),5,IF(ISNUMBER(SEARCH("Medium-High",L3)),3.5,IF(ISNUMBER(SEARCH("Low-Medium",L3)),2,IF(ISNUMBER(SEARCH("High",L3)),4,IF(ISNUMBER(SEARCH("Medium",L3)),3,IF(ISNUMBER(SEARCH("Low",L3)),1,0))))))</f>
        <v>4</v>
      </c>
      <c r="AH3" s="10" t="n">
        <f aca="false">IF(ISNUMBER(SEARCH("Very High",M3)),5,IF(ISNUMBER(SEARCH("Medium-High",M3)),3.5,IF(ISNUMBER(SEARCH("Low-Medium",M3)),2,IF(ISNUMBER(SEARCH("High",M3)),4,IF(ISNUMBER(SEARCH("Medium",M3)),3,IF(ISNUMBER(SEARCH("Low",M3)),1,0))))))</f>
        <v>3.5</v>
      </c>
      <c r="AI3" s="10" t="n">
        <f aca="false">IF(ISNUMBER(SEARCH("Very High",N3)),5,IF(ISNUMBER(SEARCH("Medium-High",N3)),3.5,IF(ISNUMBER(SEARCH("Low-Medium",N3)),2,IF(ISNUMBER(SEARCH("High",N3)),4,IF(ISNUMBER(SEARCH("Medium",N3)),3,IF(ISNUMBER(SEARCH("Low",N3)),1,0))))))</f>
        <v>0</v>
      </c>
      <c r="AJ3" s="10" t="n">
        <f aca="false">IF(ISNUMBER(SEARCH("Very High",P3)),5,IF(ISNUMBER(SEARCH("Medium-High",P3)),3.5,IF(ISNUMBER(SEARCH("Low-Medium",P3)),2,IF(ISNUMBER(SEARCH("High",P3)),4,IF(ISNUMBER(SEARCH("Medium",P3)),3,IF(ISNUMBER(SEARCH("Low",P3)),1,0))))))</f>
        <v>5</v>
      </c>
      <c r="AK3" s="10" t="n">
        <f aca="false">IF(ISNUMBER(SEARCH("Very High",Q3)),5,IF(ISNUMBER(SEARCH("Medium-High",Q3)),3.5,IF(ISNUMBER(SEARCH("Low-Medium",Q3)),2,IF(ISNUMBER(SEARCH("High",Q3)),4,IF(ISNUMBER(SEARCH("Medium",Q3)),3,IF(ISNUMBER(SEARCH("Low",Q3)),1,0))))))</f>
        <v>4</v>
      </c>
      <c r="AL3" s="10" t="n">
        <f aca="false">AC3+ROW()/10000000</f>
        <v>20.5000003</v>
      </c>
    </row>
    <row r="4" customFormat="false" ht="46.25" hidden="false" customHeight="false" outlineLevel="0" collapsed="false">
      <c r="A4" s="2" t="s">
        <v>80</v>
      </c>
      <c r="B4" s="3" t="s">
        <v>81</v>
      </c>
      <c r="C4" s="3" t="s">
        <v>82</v>
      </c>
      <c r="D4" s="2" t="s">
        <v>41</v>
      </c>
      <c r="E4" s="2" t="s">
        <v>83</v>
      </c>
      <c r="F4" s="2" t="s">
        <v>43</v>
      </c>
      <c r="G4" s="2" t="s">
        <v>44</v>
      </c>
      <c r="H4" s="2" t="s">
        <v>84</v>
      </c>
      <c r="I4" s="2" t="s">
        <v>85</v>
      </c>
      <c r="J4" s="2" t="s">
        <v>86</v>
      </c>
      <c r="K4" s="2" t="s">
        <v>72</v>
      </c>
      <c r="L4" s="4" t="s">
        <v>53</v>
      </c>
      <c r="M4" s="5" t="s">
        <v>50</v>
      </c>
      <c r="N4" s="6" t="s">
        <v>51</v>
      </c>
      <c r="O4" s="2"/>
      <c r="P4" s="7" t="s">
        <v>87</v>
      </c>
      <c r="Q4" s="4" t="s">
        <v>53</v>
      </c>
      <c r="R4" s="2" t="s">
        <v>54</v>
      </c>
      <c r="S4" s="2" t="s">
        <v>88</v>
      </c>
      <c r="T4" s="2" t="s">
        <v>56</v>
      </c>
      <c r="U4" s="2" t="s">
        <v>76</v>
      </c>
      <c r="V4" s="2" t="s">
        <v>58</v>
      </c>
      <c r="W4" s="2" t="s">
        <v>59</v>
      </c>
      <c r="X4" s="2" t="s">
        <v>60</v>
      </c>
      <c r="Y4" s="2" t="s">
        <v>89</v>
      </c>
      <c r="Z4" s="2" t="s">
        <v>90</v>
      </c>
      <c r="AA4" s="2" t="s">
        <v>91</v>
      </c>
      <c r="AB4" s="8"/>
      <c r="AC4" s="9" t="n">
        <f aca="false">ROUND((AK4*2)+(AJ4*2)+AVERAGE(AG4,AH4,AI4),1)</f>
        <v>20.5</v>
      </c>
      <c r="AD4" s="8"/>
      <c r="AE4" s="8"/>
      <c r="AF4" s="2" t="s">
        <v>64</v>
      </c>
      <c r="AG4" s="10" t="n">
        <f aca="false">IF(ISNUMBER(SEARCH("Very High",L4)),5,IF(ISNUMBER(SEARCH("Medium-High",L4)),3.5,IF(ISNUMBER(SEARCH("Low-Medium",L4)),2,IF(ISNUMBER(SEARCH("High",L4)),4,IF(ISNUMBER(SEARCH("Medium",L4)),3,IF(ISNUMBER(SEARCH("Low",L4)),1,0))))))</f>
        <v>4</v>
      </c>
      <c r="AH4" s="10" t="n">
        <f aca="false">IF(ISNUMBER(SEARCH("Very High",M4)),5,IF(ISNUMBER(SEARCH("Medium-High",M4)),3.5,IF(ISNUMBER(SEARCH("Low-Medium",M4)),2,IF(ISNUMBER(SEARCH("High",M4)),4,IF(ISNUMBER(SEARCH("Medium",M4)),3,IF(ISNUMBER(SEARCH("Low",M4)),1,0))))))</f>
        <v>3.5</v>
      </c>
      <c r="AI4" s="10" t="n">
        <f aca="false">IF(ISNUMBER(SEARCH("Very High",N4)),5,IF(ISNUMBER(SEARCH("Medium-High",N4)),3.5,IF(ISNUMBER(SEARCH("Low-Medium",N4)),2,IF(ISNUMBER(SEARCH("High",N4)),4,IF(ISNUMBER(SEARCH("Medium",N4)),3,IF(ISNUMBER(SEARCH("Low",N4)),1,0))))))</f>
        <v>0</v>
      </c>
      <c r="AJ4" s="10" t="n">
        <f aca="false">IF(ISNUMBER(SEARCH("Very High",P4)),5,IF(ISNUMBER(SEARCH("Medium-High",P4)),3.5,IF(ISNUMBER(SEARCH("Low-Medium",P4)),2,IF(ISNUMBER(SEARCH("High",P4)),4,IF(ISNUMBER(SEARCH("Medium",P4)),3,IF(ISNUMBER(SEARCH("Low",P4)),1,0))))))</f>
        <v>5</v>
      </c>
      <c r="AK4" s="10" t="n">
        <f aca="false">IF(ISNUMBER(SEARCH("Very High",Q4)),5,IF(ISNUMBER(SEARCH("Medium-High",Q4)),3.5,IF(ISNUMBER(SEARCH("Low-Medium",Q4)),2,IF(ISNUMBER(SEARCH("High",Q4)),4,IF(ISNUMBER(SEARCH("Medium",Q4)),3,IF(ISNUMBER(SEARCH("Low",Q4)),1,0))))))</f>
        <v>4</v>
      </c>
      <c r="AL4" s="10" t="n">
        <f aca="false">AC4+ROW()/10000000</f>
        <v>20.5000004</v>
      </c>
    </row>
    <row r="5" customFormat="false" ht="46.25" hidden="false" customHeight="false" outlineLevel="0" collapsed="false">
      <c r="A5" s="6" t="s">
        <v>92</v>
      </c>
      <c r="B5" s="11" t="s">
        <v>93</v>
      </c>
      <c r="C5" s="11" t="s">
        <v>94</v>
      </c>
      <c r="D5" s="6" t="s">
        <v>95</v>
      </c>
      <c r="E5" s="6" t="s">
        <v>96</v>
      </c>
      <c r="F5" s="6" t="s">
        <v>97</v>
      </c>
      <c r="G5" s="6" t="s">
        <v>44</v>
      </c>
      <c r="H5" s="6" t="s">
        <v>98</v>
      </c>
      <c r="I5" s="6" t="s">
        <v>99</v>
      </c>
      <c r="J5" s="6" t="s">
        <v>100</v>
      </c>
      <c r="K5" s="6" t="s">
        <v>101</v>
      </c>
      <c r="L5" s="4" t="s">
        <v>102</v>
      </c>
      <c r="M5" s="13" t="s">
        <v>103</v>
      </c>
      <c r="N5" s="6" t="s">
        <v>51</v>
      </c>
      <c r="O5" s="6"/>
      <c r="P5" s="7" t="s">
        <v>104</v>
      </c>
      <c r="Q5" s="4" t="s">
        <v>53</v>
      </c>
      <c r="R5" s="6" t="s">
        <v>105</v>
      </c>
      <c r="S5" s="6" t="s">
        <v>106</v>
      </c>
      <c r="T5" s="6" t="s">
        <v>107</v>
      </c>
      <c r="U5" s="6" t="s">
        <v>108</v>
      </c>
      <c r="V5" s="6" t="s">
        <v>109</v>
      </c>
      <c r="W5" s="6" t="s">
        <v>110</v>
      </c>
      <c r="X5" s="6" t="s">
        <v>111</v>
      </c>
      <c r="Y5" s="6" t="s">
        <v>112</v>
      </c>
      <c r="Z5" s="6" t="s">
        <v>113</v>
      </c>
      <c r="AA5" s="6" t="s">
        <v>114</v>
      </c>
      <c r="AB5" s="8"/>
      <c r="AC5" s="12" t="n">
        <f aca="false">ROUND((AK5*2)+(AJ5*2)+AVERAGE(AG5,AH5,AI5),1)</f>
        <v>20.3</v>
      </c>
      <c r="AD5" s="8"/>
      <c r="AE5" s="8"/>
      <c r="AF5" s="6" t="s">
        <v>64</v>
      </c>
      <c r="AG5" s="10" t="n">
        <f aca="false">IF(ISNUMBER(SEARCH("Very High",L5)),5,IF(ISNUMBER(SEARCH("Medium-High",L5)),3.5,IF(ISNUMBER(SEARCH("Low-Medium",L5)),2,IF(ISNUMBER(SEARCH("High",L5)),4,IF(ISNUMBER(SEARCH("Medium",L5)),3,IF(ISNUMBER(SEARCH("Low",L5)),1,0))))))</f>
        <v>4</v>
      </c>
      <c r="AH5" s="10" t="n">
        <f aca="false">IF(ISNUMBER(SEARCH("Very High",M5)),5,IF(ISNUMBER(SEARCH("Medium-High",M5)),3.5,IF(ISNUMBER(SEARCH("Low-Medium",M5)),2,IF(ISNUMBER(SEARCH("High",M5)),4,IF(ISNUMBER(SEARCH("Medium",M5)),3,IF(ISNUMBER(SEARCH("Low",M5)),1,0))))))</f>
        <v>3</v>
      </c>
      <c r="AI5" s="10" t="n">
        <f aca="false">IF(ISNUMBER(SEARCH("Very High",N5)),5,IF(ISNUMBER(SEARCH("Medium-High",N5)),3.5,IF(ISNUMBER(SEARCH("Low-Medium",N5)),2,IF(ISNUMBER(SEARCH("High",N5)),4,IF(ISNUMBER(SEARCH("Medium",N5)),3,IF(ISNUMBER(SEARCH("Low",N5)),1,0))))))</f>
        <v>0</v>
      </c>
      <c r="AJ5" s="10" t="n">
        <f aca="false">IF(ISNUMBER(SEARCH("Very High",P5)),5,IF(ISNUMBER(SEARCH("Medium-High",P5)),3.5,IF(ISNUMBER(SEARCH("Low-Medium",P5)),2,IF(ISNUMBER(SEARCH("High",P5)),4,IF(ISNUMBER(SEARCH("Medium",P5)),3,IF(ISNUMBER(SEARCH("Low",P5)),1,0))))))</f>
        <v>5</v>
      </c>
      <c r="AK5" s="10" t="n">
        <f aca="false">IF(ISNUMBER(SEARCH("Very High",Q5)),5,IF(ISNUMBER(SEARCH("Medium-High",Q5)),3.5,IF(ISNUMBER(SEARCH("Low-Medium",Q5)),2,IF(ISNUMBER(SEARCH("High",Q5)),4,IF(ISNUMBER(SEARCH("Medium",Q5)),3,IF(ISNUMBER(SEARCH("Low",Q5)),1,0))))))</f>
        <v>4</v>
      </c>
      <c r="AL5" s="10" t="n">
        <f aca="false">AC5+ROW()/10000000</f>
        <v>20.3000005</v>
      </c>
    </row>
    <row r="6" customFormat="false" ht="68.65" hidden="false" customHeight="false" outlineLevel="0" collapsed="false">
      <c r="A6" s="2" t="s">
        <v>115</v>
      </c>
      <c r="B6" s="3" t="s">
        <v>116</v>
      </c>
      <c r="C6" s="3" t="s">
        <v>117</v>
      </c>
      <c r="D6" s="2" t="s">
        <v>118</v>
      </c>
      <c r="E6" s="2" t="s">
        <v>119</v>
      </c>
      <c r="F6" s="2" t="s">
        <v>43</v>
      </c>
      <c r="G6" s="2" t="s">
        <v>44</v>
      </c>
      <c r="H6" s="2" t="s">
        <v>120</v>
      </c>
      <c r="I6" s="2" t="s">
        <v>121</v>
      </c>
      <c r="J6" s="2" t="s">
        <v>122</v>
      </c>
      <c r="K6" s="2" t="s">
        <v>123</v>
      </c>
      <c r="L6" s="4" t="s">
        <v>124</v>
      </c>
      <c r="M6" s="5" t="s">
        <v>50</v>
      </c>
      <c r="N6" s="6" t="s">
        <v>51</v>
      </c>
      <c r="O6" s="2"/>
      <c r="P6" s="7" t="s">
        <v>125</v>
      </c>
      <c r="Q6" s="4" t="s">
        <v>53</v>
      </c>
      <c r="R6" s="2" t="s">
        <v>105</v>
      </c>
      <c r="S6" s="2" t="s">
        <v>126</v>
      </c>
      <c r="T6" s="2" t="s">
        <v>127</v>
      </c>
      <c r="U6" s="2" t="s">
        <v>128</v>
      </c>
      <c r="V6" s="2" t="s">
        <v>129</v>
      </c>
      <c r="W6" s="2" t="s">
        <v>130</v>
      </c>
      <c r="X6" s="2" t="s">
        <v>131</v>
      </c>
      <c r="Y6" s="2" t="s">
        <v>132</v>
      </c>
      <c r="Z6" s="2" t="s">
        <v>133</v>
      </c>
      <c r="AA6" s="2" t="s">
        <v>134</v>
      </c>
      <c r="AB6" s="8"/>
      <c r="AC6" s="9" t="n">
        <f aca="false">ROUND((AK6*2)+(AJ6*2)+AVERAGE(AG6,AH6,AI6),1)</f>
        <v>20.5</v>
      </c>
      <c r="AD6" s="8"/>
      <c r="AE6" s="8"/>
      <c r="AF6" s="2" t="s">
        <v>64</v>
      </c>
      <c r="AG6" s="10" t="n">
        <f aca="false">IF(ISNUMBER(SEARCH("Very High",L6)),5,IF(ISNUMBER(SEARCH("Medium-High",L6)),3.5,IF(ISNUMBER(SEARCH("Low-Medium",L6)),2,IF(ISNUMBER(SEARCH("High",L6)),4,IF(ISNUMBER(SEARCH("Medium",L6)),3,IF(ISNUMBER(SEARCH("Low",L6)),1,0))))))</f>
        <v>4</v>
      </c>
      <c r="AH6" s="10" t="n">
        <f aca="false">IF(ISNUMBER(SEARCH("Very High",M6)),5,IF(ISNUMBER(SEARCH("Medium-High",M6)),3.5,IF(ISNUMBER(SEARCH("Low-Medium",M6)),2,IF(ISNUMBER(SEARCH("High",M6)),4,IF(ISNUMBER(SEARCH("Medium",M6)),3,IF(ISNUMBER(SEARCH("Low",M6)),1,0))))))</f>
        <v>3.5</v>
      </c>
      <c r="AI6" s="10" t="n">
        <f aca="false">IF(ISNUMBER(SEARCH("Very High",N6)),5,IF(ISNUMBER(SEARCH("Medium-High",N6)),3.5,IF(ISNUMBER(SEARCH("Low-Medium",N6)),2,IF(ISNUMBER(SEARCH("High",N6)),4,IF(ISNUMBER(SEARCH("Medium",N6)),3,IF(ISNUMBER(SEARCH("Low",N6)),1,0))))))</f>
        <v>0</v>
      </c>
      <c r="AJ6" s="10" t="n">
        <f aca="false">IF(ISNUMBER(SEARCH("Very High",P6)),5,IF(ISNUMBER(SEARCH("Medium-High",P6)),3.5,IF(ISNUMBER(SEARCH("Low-Medium",P6)),2,IF(ISNUMBER(SEARCH("High",P6)),4,IF(ISNUMBER(SEARCH("Medium",P6)),3,IF(ISNUMBER(SEARCH("Low",P6)),1,0))))))</f>
        <v>5</v>
      </c>
      <c r="AK6" s="10" t="n">
        <f aca="false">IF(ISNUMBER(SEARCH("Very High",Q6)),5,IF(ISNUMBER(SEARCH("Medium-High",Q6)),3.5,IF(ISNUMBER(SEARCH("Low-Medium",Q6)),2,IF(ISNUMBER(SEARCH("High",Q6)),4,IF(ISNUMBER(SEARCH("Medium",Q6)),3,IF(ISNUMBER(SEARCH("Low",Q6)),1,0))))))</f>
        <v>4</v>
      </c>
      <c r="AL6" s="10" t="n">
        <f aca="false">AC6+ROW()/10000000</f>
        <v>20.5000006</v>
      </c>
    </row>
    <row r="7" customFormat="false" ht="46.25" hidden="false" customHeight="false" outlineLevel="0" collapsed="false">
      <c r="A7" s="6" t="s">
        <v>135</v>
      </c>
      <c r="B7" s="11" t="s">
        <v>136</v>
      </c>
      <c r="C7" s="11" t="s">
        <v>137</v>
      </c>
      <c r="D7" s="6" t="s">
        <v>138</v>
      </c>
      <c r="E7" s="6" t="s">
        <v>139</v>
      </c>
      <c r="F7" s="6" t="s">
        <v>140</v>
      </c>
      <c r="G7" s="6" t="s">
        <v>44</v>
      </c>
      <c r="H7" s="6" t="s">
        <v>141</v>
      </c>
      <c r="I7" s="6" t="s">
        <v>142</v>
      </c>
      <c r="J7" s="6" t="s">
        <v>143</v>
      </c>
      <c r="K7" s="6" t="s">
        <v>144</v>
      </c>
      <c r="L7" s="4" t="s">
        <v>53</v>
      </c>
      <c r="M7" s="5" t="s">
        <v>50</v>
      </c>
      <c r="N7" s="6" t="s">
        <v>51</v>
      </c>
      <c r="O7" s="6"/>
      <c r="P7" s="7" t="s">
        <v>145</v>
      </c>
      <c r="Q7" s="4" t="s">
        <v>53</v>
      </c>
      <c r="R7" s="6" t="s">
        <v>105</v>
      </c>
      <c r="S7" s="6" t="s">
        <v>146</v>
      </c>
      <c r="T7" s="6" t="s">
        <v>147</v>
      </c>
      <c r="U7" s="6" t="s">
        <v>148</v>
      </c>
      <c r="V7" s="6" t="s">
        <v>149</v>
      </c>
      <c r="W7" s="6" t="s">
        <v>150</v>
      </c>
      <c r="X7" s="6" t="s">
        <v>151</v>
      </c>
      <c r="Y7" s="6" t="s">
        <v>152</v>
      </c>
      <c r="Z7" s="6" t="s">
        <v>153</v>
      </c>
      <c r="AA7" s="6" t="s">
        <v>154</v>
      </c>
      <c r="AB7" s="8"/>
      <c r="AC7" s="12" t="n">
        <f aca="false">ROUND((AK7*2)+(AJ7*2)+AVERAGE(AG7,AH7,AI7),1)</f>
        <v>20.5</v>
      </c>
      <c r="AD7" s="8"/>
      <c r="AE7" s="8"/>
      <c r="AF7" s="6" t="s">
        <v>64</v>
      </c>
      <c r="AG7" s="10" t="n">
        <f aca="false">IF(ISNUMBER(SEARCH("Very High",L7)),5,IF(ISNUMBER(SEARCH("Medium-High",L7)),3.5,IF(ISNUMBER(SEARCH("Low-Medium",L7)),2,IF(ISNUMBER(SEARCH("High",L7)),4,IF(ISNUMBER(SEARCH("Medium",L7)),3,IF(ISNUMBER(SEARCH("Low",L7)),1,0))))))</f>
        <v>4</v>
      </c>
      <c r="AH7" s="10" t="n">
        <f aca="false">IF(ISNUMBER(SEARCH("Very High",M7)),5,IF(ISNUMBER(SEARCH("Medium-High",M7)),3.5,IF(ISNUMBER(SEARCH("Low-Medium",M7)),2,IF(ISNUMBER(SEARCH("High",M7)),4,IF(ISNUMBER(SEARCH("Medium",M7)),3,IF(ISNUMBER(SEARCH("Low",M7)),1,0))))))</f>
        <v>3.5</v>
      </c>
      <c r="AI7" s="10" t="n">
        <f aca="false">IF(ISNUMBER(SEARCH("Very High",N7)),5,IF(ISNUMBER(SEARCH("Medium-High",N7)),3.5,IF(ISNUMBER(SEARCH("Low-Medium",N7)),2,IF(ISNUMBER(SEARCH("High",N7)),4,IF(ISNUMBER(SEARCH("Medium",N7)),3,IF(ISNUMBER(SEARCH("Low",N7)),1,0))))))</f>
        <v>0</v>
      </c>
      <c r="AJ7" s="10" t="n">
        <f aca="false">IF(ISNUMBER(SEARCH("Very High",P7)),5,IF(ISNUMBER(SEARCH("Medium-High",P7)),3.5,IF(ISNUMBER(SEARCH("Low-Medium",P7)),2,IF(ISNUMBER(SEARCH("High",P7)),4,IF(ISNUMBER(SEARCH("Medium",P7)),3,IF(ISNUMBER(SEARCH("Low",P7)),1,0))))))</f>
        <v>5</v>
      </c>
      <c r="AK7" s="10" t="n">
        <f aca="false">IF(ISNUMBER(SEARCH("Very High",Q7)),5,IF(ISNUMBER(SEARCH("Medium-High",Q7)),3.5,IF(ISNUMBER(SEARCH("Low-Medium",Q7)),2,IF(ISNUMBER(SEARCH("High",Q7)),4,IF(ISNUMBER(SEARCH("Medium",Q7)),3,IF(ISNUMBER(SEARCH("Low",Q7)),1,0))))))</f>
        <v>4</v>
      </c>
      <c r="AL7" s="10" t="n">
        <f aca="false">AC7+ROW()/10000000</f>
        <v>20.5000007</v>
      </c>
    </row>
    <row r="8" customFormat="false" ht="46.25" hidden="false" customHeight="false" outlineLevel="0" collapsed="false">
      <c r="A8" s="2" t="s">
        <v>155</v>
      </c>
      <c r="B8" s="3" t="s">
        <v>156</v>
      </c>
      <c r="C8" s="3" t="s">
        <v>157</v>
      </c>
      <c r="D8" s="2" t="s">
        <v>158</v>
      </c>
      <c r="E8" s="2" t="s">
        <v>159</v>
      </c>
      <c r="F8" s="2" t="s">
        <v>97</v>
      </c>
      <c r="G8" s="2" t="s">
        <v>44</v>
      </c>
      <c r="H8" s="2" t="s">
        <v>160</v>
      </c>
      <c r="I8" s="2" t="s">
        <v>161</v>
      </c>
      <c r="J8" s="2" t="s">
        <v>162</v>
      </c>
      <c r="K8" s="2" t="s">
        <v>163</v>
      </c>
      <c r="L8" s="4" t="s">
        <v>164</v>
      </c>
      <c r="M8" s="5" t="s">
        <v>50</v>
      </c>
      <c r="N8" s="6" t="s">
        <v>51</v>
      </c>
      <c r="O8" s="2"/>
      <c r="P8" s="7" t="s">
        <v>165</v>
      </c>
      <c r="Q8" s="4" t="s">
        <v>53</v>
      </c>
      <c r="R8" s="2" t="s">
        <v>105</v>
      </c>
      <c r="S8" s="2" t="s">
        <v>166</v>
      </c>
      <c r="T8" s="2" t="s">
        <v>167</v>
      </c>
      <c r="U8" s="2" t="s">
        <v>168</v>
      </c>
      <c r="V8" s="2" t="s">
        <v>169</v>
      </c>
      <c r="W8" s="2" t="s">
        <v>170</v>
      </c>
      <c r="X8" s="2" t="s">
        <v>171</v>
      </c>
      <c r="Y8" s="2" t="s">
        <v>172</v>
      </c>
      <c r="Z8" s="2" t="s">
        <v>173</v>
      </c>
      <c r="AA8" s="2" t="s">
        <v>174</v>
      </c>
      <c r="AB8" s="8"/>
      <c r="AC8" s="9" t="n">
        <f aca="false">ROUND((AK8*2)+(AJ8*2)+AVERAGE(AG8,AH8,AI8),1)</f>
        <v>20.5</v>
      </c>
      <c r="AD8" s="8"/>
      <c r="AE8" s="8"/>
      <c r="AF8" s="2" t="s">
        <v>64</v>
      </c>
      <c r="AG8" s="10" t="n">
        <f aca="false">IF(ISNUMBER(SEARCH("Very High",L8)),5,IF(ISNUMBER(SEARCH("Medium-High",L8)),3.5,IF(ISNUMBER(SEARCH("Low-Medium",L8)),2,IF(ISNUMBER(SEARCH("High",L8)),4,IF(ISNUMBER(SEARCH("Medium",L8)),3,IF(ISNUMBER(SEARCH("Low",L8)),1,0))))))</f>
        <v>4</v>
      </c>
      <c r="AH8" s="10" t="n">
        <f aca="false">IF(ISNUMBER(SEARCH("Very High",M8)),5,IF(ISNUMBER(SEARCH("Medium-High",M8)),3.5,IF(ISNUMBER(SEARCH("Low-Medium",M8)),2,IF(ISNUMBER(SEARCH("High",M8)),4,IF(ISNUMBER(SEARCH("Medium",M8)),3,IF(ISNUMBER(SEARCH("Low",M8)),1,0))))))</f>
        <v>3.5</v>
      </c>
      <c r="AI8" s="10" t="n">
        <f aca="false">IF(ISNUMBER(SEARCH("Very High",N8)),5,IF(ISNUMBER(SEARCH("Medium-High",N8)),3.5,IF(ISNUMBER(SEARCH("Low-Medium",N8)),2,IF(ISNUMBER(SEARCH("High",N8)),4,IF(ISNUMBER(SEARCH("Medium",N8)),3,IF(ISNUMBER(SEARCH("Low",N8)),1,0))))))</f>
        <v>0</v>
      </c>
      <c r="AJ8" s="10" t="n">
        <f aca="false">IF(ISNUMBER(SEARCH("Very High",P8)),5,IF(ISNUMBER(SEARCH("Medium-High",P8)),3.5,IF(ISNUMBER(SEARCH("Low-Medium",P8)),2,IF(ISNUMBER(SEARCH("High",P8)),4,IF(ISNUMBER(SEARCH("Medium",P8)),3,IF(ISNUMBER(SEARCH("Low",P8)),1,0))))))</f>
        <v>5</v>
      </c>
      <c r="AK8" s="10" t="n">
        <f aca="false">IF(ISNUMBER(SEARCH("Very High",Q8)),5,IF(ISNUMBER(SEARCH("Medium-High",Q8)),3.5,IF(ISNUMBER(SEARCH("Low-Medium",Q8)),2,IF(ISNUMBER(SEARCH("High",Q8)),4,IF(ISNUMBER(SEARCH("Medium",Q8)),3,IF(ISNUMBER(SEARCH("Low",Q8)),1,0))))))</f>
        <v>4</v>
      </c>
      <c r="AL8" s="10" t="n">
        <f aca="false">AC8+ROW()/10000000</f>
        <v>20.5000008</v>
      </c>
    </row>
    <row r="9" customFormat="false" ht="57.45" hidden="false" customHeight="false" outlineLevel="0" collapsed="false">
      <c r="A9" s="6" t="s">
        <v>175</v>
      </c>
      <c r="B9" s="11" t="s">
        <v>176</v>
      </c>
      <c r="C9" s="11" t="s">
        <v>177</v>
      </c>
      <c r="D9" s="6" t="s">
        <v>178</v>
      </c>
      <c r="E9" s="6" t="s">
        <v>179</v>
      </c>
      <c r="F9" s="6" t="s">
        <v>43</v>
      </c>
      <c r="G9" s="6" t="s">
        <v>44</v>
      </c>
      <c r="H9" s="6" t="s">
        <v>180</v>
      </c>
      <c r="I9" s="6" t="s">
        <v>181</v>
      </c>
      <c r="J9" s="6" t="s">
        <v>182</v>
      </c>
      <c r="K9" s="6" t="s">
        <v>183</v>
      </c>
      <c r="L9" s="4" t="s">
        <v>184</v>
      </c>
      <c r="M9" s="5" t="s">
        <v>50</v>
      </c>
      <c r="N9" s="6" t="s">
        <v>51</v>
      </c>
      <c r="O9" s="6"/>
      <c r="P9" s="4" t="s">
        <v>185</v>
      </c>
      <c r="Q9" s="4" t="s">
        <v>53</v>
      </c>
      <c r="R9" s="6" t="s">
        <v>186</v>
      </c>
      <c r="S9" s="6" t="s">
        <v>187</v>
      </c>
      <c r="T9" s="6" t="s">
        <v>188</v>
      </c>
      <c r="U9" s="6" t="s">
        <v>189</v>
      </c>
      <c r="V9" s="6" t="s">
        <v>190</v>
      </c>
      <c r="W9" s="6" t="s">
        <v>191</v>
      </c>
      <c r="X9" s="6" t="s">
        <v>192</v>
      </c>
      <c r="Y9" s="6" t="s">
        <v>193</v>
      </c>
      <c r="Z9" s="6" t="s">
        <v>194</v>
      </c>
      <c r="AA9" s="6" t="s">
        <v>195</v>
      </c>
      <c r="AB9" s="8"/>
      <c r="AC9" s="12" t="n">
        <f aca="false">ROUND((AK9*2)+(AJ9*2)+AVERAGE(AG9,AH9,AI9),1)</f>
        <v>18.5</v>
      </c>
      <c r="AD9" s="8"/>
      <c r="AE9" s="8"/>
      <c r="AF9" s="6" t="s">
        <v>64</v>
      </c>
      <c r="AG9" s="10" t="n">
        <f aca="false">IF(ISNUMBER(SEARCH("Very High",L9)),5,IF(ISNUMBER(SEARCH("Medium-High",L9)),3.5,IF(ISNUMBER(SEARCH("Low-Medium",L9)),2,IF(ISNUMBER(SEARCH("High",L9)),4,IF(ISNUMBER(SEARCH("Medium",L9)),3,IF(ISNUMBER(SEARCH("Low",L9)),1,0))))))</f>
        <v>4</v>
      </c>
      <c r="AH9" s="10" t="n">
        <f aca="false">IF(ISNUMBER(SEARCH("Very High",M9)),5,IF(ISNUMBER(SEARCH("Medium-High",M9)),3.5,IF(ISNUMBER(SEARCH("Low-Medium",M9)),2,IF(ISNUMBER(SEARCH("High",M9)),4,IF(ISNUMBER(SEARCH("Medium",M9)),3,IF(ISNUMBER(SEARCH("Low",M9)),1,0))))))</f>
        <v>3.5</v>
      </c>
      <c r="AI9" s="10" t="n">
        <f aca="false">IF(ISNUMBER(SEARCH("Very High",N9)),5,IF(ISNUMBER(SEARCH("Medium-High",N9)),3.5,IF(ISNUMBER(SEARCH("Low-Medium",N9)),2,IF(ISNUMBER(SEARCH("High",N9)),4,IF(ISNUMBER(SEARCH("Medium",N9)),3,IF(ISNUMBER(SEARCH("Low",N9)),1,0))))))</f>
        <v>0</v>
      </c>
      <c r="AJ9" s="10" t="n">
        <f aca="false">IF(ISNUMBER(SEARCH("Very High",P9)),5,IF(ISNUMBER(SEARCH("Medium-High",P9)),3.5,IF(ISNUMBER(SEARCH("Low-Medium",P9)),2,IF(ISNUMBER(SEARCH("High",P9)),4,IF(ISNUMBER(SEARCH("Medium",P9)),3,IF(ISNUMBER(SEARCH("Low",P9)),1,0))))))</f>
        <v>4</v>
      </c>
      <c r="AK9" s="10" t="n">
        <f aca="false">IF(ISNUMBER(SEARCH("Very High",Q9)),5,IF(ISNUMBER(SEARCH("Medium-High",Q9)),3.5,IF(ISNUMBER(SEARCH("Low-Medium",Q9)),2,IF(ISNUMBER(SEARCH("High",Q9)),4,IF(ISNUMBER(SEARCH("Medium",Q9)),3,IF(ISNUMBER(SEARCH("Low",Q9)),1,0))))))</f>
        <v>4</v>
      </c>
      <c r="AL9" s="10" t="n">
        <f aca="false">AC9+ROW()/10000000</f>
        <v>18.5000009</v>
      </c>
    </row>
  </sheetData>
  <autoFilter ref="A1:AL9"/>
  <conditionalFormatting sqref="AC2:AC9">
    <cfRule type="cellIs" priority="2" operator="greaterThanOrEqual" aboveAverage="0" equalAverage="0" bottom="0" percent="0" rank="0" text="" dxfId="11">
      <formula>22</formula>
    </cfRule>
    <cfRule type="cellIs" priority="3" operator="greaterThanOrEqual" aboveAverage="0" equalAverage="0" bottom="0" percent="0" rank="0" text="" dxfId="12">
      <formula>18</formula>
    </cfRule>
    <cfRule type="cellIs" priority="4" operator="greaterThanOrEqual" aboveAverage="0" equalAverage="0" bottom="0" percent="0" rank="0" text="" dxfId="13">
      <formula>14</formula>
    </cfRule>
    <cfRule type="cellIs" priority="5" operator="greaterThanOrEqual" aboveAverage="0" equalAverage="0" bottom="0" percent="0" rank="0" text="" dxfId="14">
      <formula>10</formula>
    </cfRule>
    <cfRule type="cellIs" priority="6" operator="greaterThanOrEqual" aboveAverage="0" equalAverage="0" bottom="0" percent="0" rank="0" text="" dxfId="15">
      <formula>7</formula>
    </cfRule>
    <cfRule type="cellIs" priority="7" operator="lessThan" aboveAverage="0" equalAverage="0" bottom="0" percent="0" rank="0" text="" dxfId="16">
      <formula>7</formula>
    </cfRule>
  </conditionalFormatting>
  <hyperlinks>
    <hyperlink ref="B2" r:id="rId2" display="https://www.dragos.com"/>
    <hyperlink ref="C2" r:id="rId3" display="https://www.dragos.com/careers/"/>
    <hyperlink ref="B3" r:id="rId4" display="https://www.nozominetworks.com"/>
    <hyperlink ref="C3" r:id="rId5" display="https://www.nozominetworks.com/careers"/>
    <hyperlink ref="B4" r:id="rId6" display="https://claroty.com"/>
    <hyperlink ref="C4" r:id="rId7" display="https://claroty.com/careers"/>
    <hyperlink ref="B5" r:id="rId8" display="https://www.ey.com"/>
    <hyperlink ref="C5" r:id="rId9" display="https://careers.ey.com"/>
    <hyperlink ref="B6" r:id="rId10" display="https://www.accenture.com"/>
    <hyperlink ref="C6" r:id="rId11" display="https://www.accenture.com/us-en/careers"/>
    <hyperlink ref="B7" r:id="rId12" display="https://www.se.com"/>
    <hyperlink ref="C7" r:id="rId13" display="https://www.se.com/us/en/about-us/careers/"/>
    <hyperlink ref="B8" r:id="rId14" display="https://www.boozallen.com"/>
    <hyperlink ref="C8" r:id="rId15" display="https://www.boozallen.com/careers.html"/>
    <hyperlink ref="B9" r:id="rId16" display="https://www.honeywell.com/us/en/services/cybersecurity"/>
    <hyperlink ref="C9" r:id="rId17" display="https://careers.honeywel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8"/>
  <legacy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28"/>
    <col collapsed="false" customWidth="true" hidden="false" outlineLevel="0" max="10" min="10" style="0" width="34"/>
  </cols>
  <sheetData>
    <row r="1" customFormat="false" ht="15" hidden="false" customHeight="false" outlineLevel="0" collapsed="false">
      <c r="A1" s="14" t="s">
        <v>0</v>
      </c>
      <c r="B1" s="14" t="s">
        <v>1</v>
      </c>
      <c r="C1" s="14" t="s">
        <v>3</v>
      </c>
      <c r="D1" s="14" t="s">
        <v>5</v>
      </c>
      <c r="E1" s="14" t="s">
        <v>6</v>
      </c>
      <c r="F1" s="14" t="s">
        <v>8</v>
      </c>
      <c r="G1" s="14" t="s">
        <v>9</v>
      </c>
      <c r="H1" s="14" t="s">
        <v>16</v>
      </c>
      <c r="I1" s="14" t="s">
        <v>17</v>
      </c>
      <c r="J1" s="14" t="s">
        <v>26</v>
      </c>
    </row>
    <row r="2" customFormat="false" ht="35.05" hidden="false" customHeight="false" outlineLevel="0" collapsed="false">
      <c r="A2" s="2" t="s">
        <v>196</v>
      </c>
      <c r="B2" s="15" t="s">
        <v>197</v>
      </c>
      <c r="C2" s="2" t="s">
        <v>158</v>
      </c>
      <c r="D2" s="2" t="s">
        <v>97</v>
      </c>
      <c r="E2" s="2" t="s">
        <v>44</v>
      </c>
      <c r="F2" s="2" t="s">
        <v>198</v>
      </c>
      <c r="G2" s="2" t="s">
        <v>100</v>
      </c>
      <c r="H2" s="4" t="s">
        <v>53</v>
      </c>
      <c r="I2" s="2" t="s">
        <v>199</v>
      </c>
      <c r="J2" s="2" t="s">
        <v>200</v>
      </c>
    </row>
    <row r="3" customFormat="false" ht="23.85" hidden="false" customHeight="false" outlineLevel="0" collapsed="false">
      <c r="A3" s="6" t="s">
        <v>201</v>
      </c>
      <c r="B3" s="16" t="s">
        <v>202</v>
      </c>
      <c r="C3" s="6" t="s">
        <v>95</v>
      </c>
      <c r="D3" s="6" t="s">
        <v>97</v>
      </c>
      <c r="E3" s="6" t="s">
        <v>44</v>
      </c>
      <c r="F3" s="6" t="s">
        <v>203</v>
      </c>
      <c r="G3" s="6" t="s">
        <v>204</v>
      </c>
      <c r="H3" s="5" t="s">
        <v>50</v>
      </c>
      <c r="I3" s="6" t="s">
        <v>199</v>
      </c>
      <c r="J3" s="6" t="s">
        <v>205</v>
      </c>
    </row>
    <row r="4" customFormat="false" ht="23.85" hidden="false" customHeight="false" outlineLevel="0" collapsed="false">
      <c r="A4" s="2" t="s">
        <v>206</v>
      </c>
      <c r="B4" s="15" t="s">
        <v>207</v>
      </c>
      <c r="C4" s="2" t="s">
        <v>95</v>
      </c>
      <c r="D4" s="2" t="s">
        <v>97</v>
      </c>
      <c r="E4" s="2" t="s">
        <v>44</v>
      </c>
      <c r="F4" s="2" t="s">
        <v>208</v>
      </c>
      <c r="G4" s="2" t="s">
        <v>209</v>
      </c>
      <c r="H4" s="5" t="s">
        <v>50</v>
      </c>
      <c r="I4" s="2" t="s">
        <v>199</v>
      </c>
      <c r="J4" s="2" t="s">
        <v>210</v>
      </c>
    </row>
    <row r="5" customFormat="false" ht="35.05" hidden="false" customHeight="false" outlineLevel="0" collapsed="false">
      <c r="A5" s="6" t="s">
        <v>211</v>
      </c>
      <c r="B5" s="16" t="s">
        <v>212</v>
      </c>
      <c r="C5" s="6" t="s">
        <v>213</v>
      </c>
      <c r="D5" s="6" t="s">
        <v>43</v>
      </c>
      <c r="E5" s="6" t="s">
        <v>44</v>
      </c>
      <c r="F5" s="6" t="s">
        <v>214</v>
      </c>
      <c r="G5" s="6" t="s">
        <v>215</v>
      </c>
      <c r="H5" s="5" t="s">
        <v>50</v>
      </c>
      <c r="I5" s="6" t="s">
        <v>216</v>
      </c>
      <c r="J5" s="6" t="s">
        <v>217</v>
      </c>
    </row>
    <row r="6" customFormat="false" ht="23.85" hidden="false" customHeight="false" outlineLevel="0" collapsed="false">
      <c r="A6" s="2" t="s">
        <v>218</v>
      </c>
      <c r="B6" s="15" t="s">
        <v>219</v>
      </c>
      <c r="C6" s="2" t="s">
        <v>220</v>
      </c>
      <c r="D6" s="2" t="s">
        <v>140</v>
      </c>
      <c r="E6" s="2" t="s">
        <v>44</v>
      </c>
      <c r="F6" s="2" t="s">
        <v>221</v>
      </c>
      <c r="G6" s="2" t="s">
        <v>222</v>
      </c>
      <c r="H6" s="4" t="s">
        <v>53</v>
      </c>
      <c r="I6" s="2" t="s">
        <v>186</v>
      </c>
      <c r="J6" s="2" t="s">
        <v>223</v>
      </c>
    </row>
    <row r="7" customFormat="false" ht="35.05" hidden="false" customHeight="false" outlineLevel="0" collapsed="false">
      <c r="A7" s="6" t="s">
        <v>224</v>
      </c>
      <c r="B7" s="16" t="s">
        <v>225</v>
      </c>
      <c r="C7" s="6" t="s">
        <v>226</v>
      </c>
      <c r="D7" s="6" t="s">
        <v>140</v>
      </c>
      <c r="E7" s="6" t="s">
        <v>44</v>
      </c>
      <c r="F7" s="6" t="s">
        <v>227</v>
      </c>
      <c r="G7" s="6" t="s">
        <v>228</v>
      </c>
      <c r="H7" s="4" t="s">
        <v>53</v>
      </c>
      <c r="I7" s="6" t="s">
        <v>186</v>
      </c>
      <c r="J7" s="6" t="s">
        <v>229</v>
      </c>
    </row>
    <row r="8" customFormat="false" ht="23.85" hidden="false" customHeight="false" outlineLevel="0" collapsed="false">
      <c r="A8" s="2" t="s">
        <v>230</v>
      </c>
      <c r="B8" s="15" t="s">
        <v>231</v>
      </c>
      <c r="C8" s="2" t="s">
        <v>232</v>
      </c>
      <c r="D8" s="2" t="s">
        <v>140</v>
      </c>
      <c r="E8" s="2" t="s">
        <v>44</v>
      </c>
      <c r="F8" s="2" t="s">
        <v>233</v>
      </c>
      <c r="G8" s="2" t="s">
        <v>234</v>
      </c>
      <c r="H8" s="4" t="s">
        <v>53</v>
      </c>
      <c r="I8" s="2" t="s">
        <v>186</v>
      </c>
      <c r="J8" s="2" t="s">
        <v>235</v>
      </c>
    </row>
    <row r="9" customFormat="false" ht="23.85" hidden="false" customHeight="false" outlineLevel="0" collapsed="false">
      <c r="A9" s="6" t="s">
        <v>236</v>
      </c>
      <c r="B9" s="16" t="s">
        <v>237</v>
      </c>
      <c r="C9" s="6" t="s">
        <v>226</v>
      </c>
      <c r="D9" s="6" t="s">
        <v>140</v>
      </c>
      <c r="E9" s="6" t="s">
        <v>44</v>
      </c>
      <c r="F9" s="6" t="s">
        <v>238</v>
      </c>
      <c r="G9" s="6" t="s">
        <v>239</v>
      </c>
      <c r="H9" s="13" t="s">
        <v>103</v>
      </c>
      <c r="I9" s="6" t="s">
        <v>186</v>
      </c>
      <c r="J9" s="6" t="s">
        <v>240</v>
      </c>
    </row>
    <row r="10" customFormat="false" ht="35.05" hidden="false" customHeight="false" outlineLevel="0" collapsed="false">
      <c r="A10" s="2" t="s">
        <v>241</v>
      </c>
      <c r="B10" s="15" t="s">
        <v>242</v>
      </c>
      <c r="C10" s="2" t="s">
        <v>226</v>
      </c>
      <c r="D10" s="2" t="s">
        <v>140</v>
      </c>
      <c r="E10" s="2" t="s">
        <v>44</v>
      </c>
      <c r="F10" s="2" t="s">
        <v>243</v>
      </c>
      <c r="G10" s="2" t="s">
        <v>244</v>
      </c>
      <c r="H10" s="4" t="s">
        <v>53</v>
      </c>
      <c r="I10" s="2" t="s">
        <v>186</v>
      </c>
      <c r="J10" s="2" t="s">
        <v>245</v>
      </c>
    </row>
    <row r="11" customFormat="false" ht="46.25" hidden="false" customHeight="false" outlineLevel="0" collapsed="false">
      <c r="A11" s="6" t="s">
        <v>246</v>
      </c>
      <c r="B11" s="16" t="s">
        <v>247</v>
      </c>
      <c r="C11" s="6" t="s">
        <v>248</v>
      </c>
      <c r="D11" s="6" t="s">
        <v>140</v>
      </c>
      <c r="E11" s="6" t="s">
        <v>44</v>
      </c>
      <c r="F11" s="6" t="s">
        <v>249</v>
      </c>
      <c r="G11" s="6" t="s">
        <v>250</v>
      </c>
      <c r="H11" s="4" t="s">
        <v>53</v>
      </c>
      <c r="I11" s="6" t="s">
        <v>251</v>
      </c>
      <c r="J11" s="6" t="s">
        <v>252</v>
      </c>
    </row>
    <row r="12" customFormat="false" ht="23.85" hidden="false" customHeight="false" outlineLevel="0" collapsed="false">
      <c r="A12" s="2" t="s">
        <v>253</v>
      </c>
      <c r="B12" s="15" t="s">
        <v>254</v>
      </c>
      <c r="C12" s="2" t="s">
        <v>255</v>
      </c>
      <c r="D12" s="2" t="s">
        <v>140</v>
      </c>
      <c r="E12" s="2" t="s">
        <v>44</v>
      </c>
      <c r="F12" s="2" t="s">
        <v>256</v>
      </c>
      <c r="G12" s="2" t="s">
        <v>257</v>
      </c>
      <c r="H12" s="5" t="s">
        <v>50</v>
      </c>
      <c r="I12" s="2" t="s">
        <v>251</v>
      </c>
      <c r="J12" s="2" t="s">
        <v>258</v>
      </c>
    </row>
    <row r="13" customFormat="false" ht="35.05" hidden="false" customHeight="false" outlineLevel="0" collapsed="false">
      <c r="A13" s="6" t="s">
        <v>259</v>
      </c>
      <c r="B13" s="16" t="s">
        <v>260</v>
      </c>
      <c r="C13" s="6" t="s">
        <v>261</v>
      </c>
      <c r="D13" s="6" t="s">
        <v>43</v>
      </c>
      <c r="E13" s="6" t="s">
        <v>44</v>
      </c>
      <c r="F13" s="6" t="s">
        <v>262</v>
      </c>
      <c r="G13" s="6" t="s">
        <v>263</v>
      </c>
      <c r="H13" s="5" t="s">
        <v>50</v>
      </c>
      <c r="I13" s="6" t="s">
        <v>264</v>
      </c>
      <c r="J13" s="6" t="s">
        <v>265</v>
      </c>
    </row>
    <row r="14" customFormat="false" ht="23.85" hidden="false" customHeight="false" outlineLevel="0" collapsed="false">
      <c r="A14" s="2" t="s">
        <v>266</v>
      </c>
      <c r="B14" s="15" t="s">
        <v>267</v>
      </c>
      <c r="C14" s="2" t="s">
        <v>268</v>
      </c>
      <c r="D14" s="2" t="s">
        <v>43</v>
      </c>
      <c r="E14" s="2" t="s">
        <v>44</v>
      </c>
      <c r="F14" s="2" t="s">
        <v>269</v>
      </c>
      <c r="G14" s="2" t="s">
        <v>270</v>
      </c>
      <c r="H14" s="5" t="s">
        <v>50</v>
      </c>
      <c r="I14" s="2" t="s">
        <v>264</v>
      </c>
      <c r="J14" s="2" t="s">
        <v>271</v>
      </c>
    </row>
    <row r="15" customFormat="false" ht="35.05" hidden="false" customHeight="false" outlineLevel="0" collapsed="false">
      <c r="A15" s="6" t="s">
        <v>272</v>
      </c>
      <c r="B15" s="16" t="s">
        <v>273</v>
      </c>
      <c r="C15" s="6" t="s">
        <v>274</v>
      </c>
      <c r="D15" s="6" t="s">
        <v>97</v>
      </c>
      <c r="E15" s="6" t="s">
        <v>44</v>
      </c>
      <c r="F15" s="6" t="s">
        <v>275</v>
      </c>
      <c r="G15" s="6" t="s">
        <v>276</v>
      </c>
      <c r="H15" s="4" t="s">
        <v>53</v>
      </c>
      <c r="I15" s="6" t="s">
        <v>277</v>
      </c>
      <c r="J15" s="6" t="s">
        <v>278</v>
      </c>
    </row>
    <row r="16" customFormat="false" ht="35.05" hidden="false" customHeight="false" outlineLevel="0" collapsed="false">
      <c r="A16" s="2" t="s">
        <v>279</v>
      </c>
      <c r="B16" s="15" t="s">
        <v>280</v>
      </c>
      <c r="C16" s="2" t="s">
        <v>281</v>
      </c>
      <c r="D16" s="2" t="s">
        <v>140</v>
      </c>
      <c r="E16" s="2" t="s">
        <v>44</v>
      </c>
      <c r="F16" s="2" t="s">
        <v>282</v>
      </c>
      <c r="G16" s="2" t="s">
        <v>283</v>
      </c>
      <c r="H16" s="5" t="s">
        <v>50</v>
      </c>
      <c r="I16" s="2" t="s">
        <v>277</v>
      </c>
      <c r="J16" s="2" t="s">
        <v>284</v>
      </c>
    </row>
  </sheetData>
  <autoFilter ref="A1:J16"/>
  <hyperlinks>
    <hyperlink ref="B2" r:id="rId1" display="https://www2.deloitte.com"/>
    <hyperlink ref="B3" r:id="rId2" display="https://kpmg.com"/>
    <hyperlink ref="B4" r:id="rId3" display="https://www.pwc.com"/>
    <hyperlink ref="B5" r:id="rId4" display="https://www.ibm.com"/>
    <hyperlink ref="B6" r:id="rId5" display="https://www.siemens.com"/>
    <hyperlink ref="B7" r:id="rId6" display="https://www.rockwellautomation.com"/>
    <hyperlink ref="B8" r:id="rId7" display="https://global.abb"/>
    <hyperlink ref="B9" r:id="rId8" display="https://www.yokogawa.com"/>
    <hyperlink ref="B10" r:id="rId9" display="https://www.emerson.com"/>
    <hyperlink ref="B11" r:id="rId10" display="https://1898andco.burnsmcd.com"/>
    <hyperlink ref="B12" r:id="rId11" display="https://www.abs-group.com"/>
    <hyperlink ref="B13" r:id="rId12" display="https://www.optiv.com"/>
    <hyperlink ref="B14" r:id="rId13" display="https://www.nccgroup.com"/>
    <hyperlink ref="B15" r:id="rId14" display="https://ampyxcyber.com"/>
    <hyperlink ref="B16" r:id="rId15" display="https://red.grou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2026-08-11T22:21:51Z</dcterms:created>
  <dc:creator>openpyxl</dc:creator>
  <dc:description/>
  <dc:language>en-US</dc:language>
  <cp:lastModifiedBy/>
  <dcterms:modified xsi:type="dcterms:W3CDTF">2026-08-11T22:21:51Z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