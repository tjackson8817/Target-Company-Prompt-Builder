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ontact Matches" sheetId="2" state="visible" r:id="rId4"/>
    <sheet name="Target Connections" sheetId="3" state="visible" r:id="rId5"/>
    <sheet name="Messages" sheetId="4" state="visible" r:id="rId6"/>
  </sheets>
  <definedNames>
    <definedName function="false" hidden="true" localSheetId="1" name="_xlnm._FilterDatabase" vbProcedure="false">'Contact Matches'!$A$1:$H$31</definedName>
    <definedName function="false" hidden="true" localSheetId="3" name="_xlnm._FilterDatabase" vbProcedure="false">Messages!$A$1:$J$36</definedName>
    <definedName function="false" hidden="true" localSheetId="2" name="_xlnm._FilterDatabase" vbProcedure="false">'Target Connections'!$A$1:$P$29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<sst xmlns="http://schemas.openxmlformats.org/spreadsheetml/2006/main" count="775" uniqueCount="233">
  <si>
    <t xml:space="preserve">Target Company</t>
  </si>
  <si>
    <t xml:space="preserve">Contacts Matched</t>
  </si>
  <si>
    <t xml:space="preserve">Current</t>
  </si>
  <si>
    <t xml:space="preserve">Former</t>
  </si>
  <si>
    <t xml:space="preserve">High Confidence</t>
  </si>
  <si>
    <t xml:space="preserve">Medium Confidence</t>
  </si>
  <si>
    <t xml:space="preserve">Low Confidence</t>
  </si>
  <si>
    <t xml:space="preserve">Connections Messaged</t>
  </si>
  <si>
    <t xml:space="preserve">Your Move</t>
  </si>
  <si>
    <t xml:space="preserve">Awaiting Reply</t>
  </si>
  <si>
    <t xml:space="preserve">Never Messaged</t>
  </si>
  <si>
    <t xml:space="preserve">Total Messages</t>
  </si>
  <si>
    <t xml:space="preserve">Last Message</t>
  </si>
  <si>
    <t xml:space="preserve">Dragos</t>
  </si>
  <si>
    <t xml:space="preserve">EY (Ernst &amp; Young)</t>
  </si>
  <si>
    <t xml:space="preserve">Deloitte</t>
  </si>
  <si>
    <t xml:space="preserve">KPMG</t>
  </si>
  <si>
    <t xml:space="preserve">Bureau Veritas</t>
  </si>
  <si>
    <t xml:space="preserve">Accenture</t>
  </si>
  <si>
    <t xml:space="preserve">Claroty</t>
  </si>
  <si>
    <t xml:space="preserve">Nozomi Networks</t>
  </si>
  <si>
    <t xml:space="preserve">1898 &amp; Co. (Burns &amp; McDonnell)</t>
  </si>
  <si>
    <t xml:space="preserve">PwC</t>
  </si>
  <si>
    <t xml:space="preserve">Honeywell</t>
  </si>
  <si>
    <t xml:space="preserve">Rockwell Automation</t>
  </si>
  <si>
    <t xml:space="preserve">Booz Allen Hamilton</t>
  </si>
  <si>
    <t xml:space="preserve">DNV (Applied Risk)</t>
  </si>
  <si>
    <t xml:space="preserve">Kudelski Security</t>
  </si>
  <si>
    <t xml:space="preserve">TOTAL</t>
  </si>
  <si>
    <t xml:space="preserve">How this workbook was built</t>
  </si>
  <si>
    <t xml:space="preserve">Contact Matches: connections whose Company field names a target, including clear variants (subsidiary, regional entity, parent, former name). Targets with no match show 'No match found'.</t>
  </si>
  <si>
    <t xml:space="preserve">Match Confidence: High = Company field names the target (or a regional entity of it); Medium = affiliate/subsidiary/parent/acquired company, or a former employee; Low = plausible but uncertain.</t>
  </si>
  <si>
    <t xml:space="preserve">Current or Former: LinkedIn's export only lists each connection's current employer, so 'Former' is used only where the data says so (e.g. 'Ex EY', Position 'Retired').</t>
  </si>
  <si>
    <t xml:space="preserve">Target Connections / Messages: messages linked to each matched connection by LinkedIn profile URL (not by name). Group conversations count toward every matched person in them.</t>
  </si>
  <si>
    <t xml:space="preserve">Status: 'Your move' = they sent the last message; 'Awaiting reply' = you sent the last message. Dates are UTC.</t>
  </si>
  <si>
    <t xml:space="preserve">Message export covers 02 Nov 2022 to 13 Mar 2026; anything after that isn't included.</t>
  </si>
  <si>
    <t xml:space="preserve">Company</t>
  </si>
  <si>
    <t xml:space="preserve">Matched Contact Name</t>
  </si>
  <si>
    <t xml:space="preserve">Contact's Title</t>
  </si>
  <si>
    <t xml:space="preserve">Contact's LinkedIn Profile URL</t>
  </si>
  <si>
    <t xml:space="preserve">Current or Former</t>
  </si>
  <si>
    <t xml:space="preserve">Match Confidence</t>
  </si>
  <si>
    <t xml:space="preserve">Company as Listed in CSV</t>
  </si>
  <si>
    <t xml:space="preserve">Match Note</t>
  </si>
  <si>
    <t xml:space="preserve">Marcus Bell</t>
  </si>
  <si>
    <t xml:space="preserve">Director, Professional Services</t>
  </si>
  <si>
    <t xml:space="preserve">https://www.linkedin.com/in/sample-marcus-bell</t>
  </si>
  <si>
    <t xml:space="preserve">High</t>
  </si>
  <si>
    <t xml:space="preserve">Dragos, Inc.</t>
  </si>
  <si>
    <t xml:space="preserve">Priya Natarajan</t>
  </si>
  <si>
    <t xml:space="preserve">Principal Industrial Consultant</t>
  </si>
  <si>
    <t xml:space="preserve">https://www.linkedin.com/in/sample-priya-natarajan</t>
  </si>
  <si>
    <t xml:space="preserve">Daniel Okafor</t>
  </si>
  <si>
    <t xml:space="preserve">Senior Manager, OT Cyber Risk</t>
  </si>
  <si>
    <t xml:space="preserve">https://www.linkedin.com/in/sample-daniel-okafor</t>
  </si>
  <si>
    <t xml:space="preserve">Ernst &amp; Young LLP</t>
  </si>
  <si>
    <t xml:space="preserve">Elena Ruiz</t>
  </si>
  <si>
    <t xml:space="preserve">Partner, Cybersecurity Consulting</t>
  </si>
  <si>
    <t xml:space="preserve">https://www.linkedin.com/in/sample-elena-ruiz</t>
  </si>
  <si>
    <t xml:space="preserve">EY</t>
  </si>
  <si>
    <t xml:space="preserve">Grace Lindqvist</t>
  </si>
  <si>
    <t xml:space="preserve">Talent Acquisition Lead, Consulting</t>
  </si>
  <si>
    <t xml:space="preserve">https://www.linkedin.com/in/sample-grace-lindqvist</t>
  </si>
  <si>
    <t xml:space="preserve">Robert Haines</t>
  </si>
  <si>
    <t xml:space="preserve">Retired</t>
  </si>
  <si>
    <t xml:space="preserve">https://www.linkedin.com/in/sample-robert-haines</t>
  </si>
  <si>
    <t xml:space="preserve">Medium</t>
  </si>
  <si>
    <t xml:space="preserve">Ex EY</t>
  </si>
  <si>
    <t xml:space="preserve">Company field reads "Ex EY"; Position lists "Retired"</t>
  </si>
  <si>
    <t xml:space="preserve">Kevin Tran</t>
  </si>
  <si>
    <t xml:space="preserve">Senior Consultant, OT Security</t>
  </si>
  <si>
    <t xml:space="preserve">https://www.linkedin.com/in/sample-kevin-tran</t>
  </si>
  <si>
    <t xml:space="preserve">Sofia Marchetti</t>
  </si>
  <si>
    <t xml:space="preserve">Managing Director, Cyber &amp; Strategic Risk</t>
  </si>
  <si>
    <t xml:space="preserve">https://www.linkedin.com/in/sample-sofia-marchetti</t>
  </si>
  <si>
    <t xml:space="preserve">Hannah Weiss</t>
  </si>
  <si>
    <t xml:space="preserve">Director, Cyber Security Services</t>
  </si>
  <si>
    <t xml:space="preserve">https://www.linkedin.com/in/sample-hannah-weiss</t>
  </si>
  <si>
    <t xml:space="preserve">KPMG US</t>
  </si>
  <si>
    <t xml:space="preserve">Regional entity</t>
  </si>
  <si>
    <t xml:space="preserve">Omar Haddad</t>
  </si>
  <si>
    <t xml:space="preserve">Manager, Industrial Cybersecurity</t>
  </si>
  <si>
    <t xml:space="preserve">https://www.linkedin.com/in/sample-omar-haddad</t>
  </si>
  <si>
    <t xml:space="preserve">No match found</t>
  </si>
  <si>
    <t xml:space="preserve">No contact in the CSV lists this company</t>
  </si>
  <si>
    <t xml:space="preserve">James Whitaker</t>
  </si>
  <si>
    <t xml:space="preserve">Senior Manager, OT Security</t>
  </si>
  <si>
    <t xml:space="preserve">https://www.linkedin.com/in/sample-james-whitaker</t>
  </si>
  <si>
    <t xml:space="preserve">Laura Chen</t>
  </si>
  <si>
    <t xml:space="preserve">Managing Director, Security - Industry X</t>
  </si>
  <si>
    <t xml:space="preserve">https://www.linkedin.com/in/sample-laura-chen</t>
  </si>
  <si>
    <t xml:space="preserve">Chris Delgado</t>
  </si>
  <si>
    <t xml:space="preserve">Security Solutions Director</t>
  </si>
  <si>
    <t xml:space="preserve">https://www.linkedin.com/in/sample-chris-delgado</t>
  </si>
  <si>
    <t xml:space="preserve">Avanade</t>
  </si>
  <si>
    <t xml:space="preserve">Avanade: Accenture-majority-owned JV with Microsoft</t>
  </si>
  <si>
    <t xml:space="preserve">Nadia Petrova</t>
  </si>
  <si>
    <t xml:space="preserve">Principal Director, Cyber</t>
  </si>
  <si>
    <t xml:space="preserve">https://www.linkedin.com/in/sample-nadia-petrova</t>
  </si>
  <si>
    <t xml:space="preserve">Accenture Federal Services</t>
  </si>
  <si>
    <t xml:space="preserve">Accenture subsidiary (Accenture Federal Services)</t>
  </si>
  <si>
    <t xml:space="preserve">Aisha Bello</t>
  </si>
  <si>
    <t xml:space="preserve">Regional Sales Director</t>
  </si>
  <si>
    <t xml:space="preserve">https://www.linkedin.com/in/sample-aisha-bello</t>
  </si>
  <si>
    <t xml:space="preserve">Tom Fischer</t>
  </si>
  <si>
    <t xml:space="preserve">Solutions Engineer, OT</t>
  </si>
  <si>
    <t xml:space="preserve">https://www.linkedin.com/in/sample-tom-fischer</t>
  </si>
  <si>
    <t xml:space="preserve">Yuki Tanaka</t>
  </si>
  <si>
    <t xml:space="preserve">Customer Success Manager</t>
  </si>
  <si>
    <t xml:space="preserve">https://www.linkedin.com/in/sample-yuki-tanaka</t>
  </si>
  <si>
    <t xml:space="preserve">Brian Kowalski</t>
  </si>
  <si>
    <t xml:space="preserve">Project Manager, Electrical</t>
  </si>
  <si>
    <t xml:space="preserve">https://www.linkedin.com/in/sample-brian-kowalski</t>
  </si>
  <si>
    <t xml:space="preserve">Burns &amp; McDonnell</t>
  </si>
  <si>
    <t xml:space="preserve">Parent company (Burns &amp; McDonnell)</t>
  </si>
  <si>
    <t xml:space="preserve">Megan Foster</t>
  </si>
  <si>
    <t xml:space="preserve">Director, Cyber, Risk &amp; Regulatory</t>
  </si>
  <si>
    <t xml:space="preserve">https://www.linkedin.com/in/sample-megan-foster</t>
  </si>
  <si>
    <t xml:space="preserve">Arjun Mehta</t>
  </si>
  <si>
    <t xml:space="preserve">OT Cybersecurity Architect</t>
  </si>
  <si>
    <t xml:space="preserve">https://www.linkedin.com/in/sample-arjun-mehta</t>
  </si>
  <si>
    <t xml:space="preserve">Carla Santos</t>
  </si>
  <si>
    <t xml:space="preserve">Global Services Leader</t>
  </si>
  <si>
    <t xml:space="preserve">https://www.linkedin.com/in/sample-carla-santos</t>
  </si>
  <si>
    <t xml:space="preserve">Honeywell Process Solutions</t>
  </si>
  <si>
    <t xml:space="preserve">Diane Morris</t>
  </si>
  <si>
    <t xml:space="preserve">Account Manager</t>
  </si>
  <si>
    <t xml:space="preserve">https://www.linkedin.com/in/sample-diane-morris</t>
  </si>
  <si>
    <t xml:space="preserve">Peter Novak</t>
  </si>
  <si>
    <t xml:space="preserve">Sr. Manager, Industrial Cybersecurity Services</t>
  </si>
  <si>
    <t xml:space="preserve">https://www.linkedin.com/in/sample-peter-novak</t>
  </si>
  <si>
    <t xml:space="preserve">Rachel Ito</t>
  </si>
  <si>
    <t xml:space="preserve">Lead Associate</t>
  </si>
  <si>
    <t xml:space="preserve">https://www.linkedin.com/in/sample-rachel-ito</t>
  </si>
  <si>
    <t xml:space="preserve">Samuel Greene</t>
  </si>
  <si>
    <t xml:space="preserve">Principal, OT Cybersecurity</t>
  </si>
  <si>
    <t xml:space="preserve">https://www.linkedin.com/in/sample-samuel-greene</t>
  </si>
  <si>
    <t xml:space="preserve">Victor Lang</t>
  </si>
  <si>
    <t xml:space="preserve">Senior Recruiter, Cyber</t>
  </si>
  <si>
    <t xml:space="preserve">https://www.linkedin.com/in/sample-victor-lang</t>
  </si>
  <si>
    <t xml:space="preserve">Isabel Duarte</t>
  </si>
  <si>
    <t xml:space="preserve">VP, Advisory Services</t>
  </si>
  <si>
    <t xml:space="preserve">https://www.linkedin.com/in/sample-isabel-duarte</t>
  </si>
  <si>
    <t xml:space="preserve">Felix Brandt</t>
  </si>
  <si>
    <t xml:space="preserve">Head of IoT Security</t>
  </si>
  <si>
    <t xml:space="preserve">https://www.linkedin.com/in/sample-felix-brandt</t>
  </si>
  <si>
    <t xml:space="preserve">Kudelski Group</t>
  </si>
  <si>
    <t xml:space="preserve">Parent company (Kudelski Group)</t>
  </si>
  <si>
    <t xml:space="preserve">Name</t>
  </si>
  <si>
    <t xml:space="preserve">Position</t>
  </si>
  <si>
    <t xml:space="preserve">Company (LinkedIn)</t>
  </si>
  <si>
    <t xml:space="preserve">Connected On</t>
  </si>
  <si>
    <t xml:space="preserve">Email</t>
  </si>
  <si>
    <t xml:space="preserve">Profile URL</t>
  </si>
  <si>
    <t xml:space="preserve">Conversations</t>
  </si>
  <si>
    <t xml:space="preserve">Msgs Sent</t>
  </si>
  <si>
    <t xml:space="preserve">Msgs Received</t>
  </si>
  <si>
    <t xml:space="preserve">First Message</t>
  </si>
  <si>
    <t xml:space="preserve">Last From</t>
  </si>
  <si>
    <t xml:space="preserve">Status</t>
  </si>
  <si>
    <t xml:space="preserve">Last Message Preview</t>
  </si>
  <si>
    <t xml:space="preserve">Your move - they replied last</t>
  </si>
  <si>
    <t xml:space="preserve">Perfect, sending an invite now.</t>
  </si>
  <si>
    <t xml:space="preserve">Me</t>
  </si>
  <si>
    <t xml:space="preserve">You reached out - no reply yet</t>
  </si>
  <si>
    <t xml:space="preserve">Marcus, I saw the Director, OT Services posting at Dragos. Any insight on the hiring manager?</t>
  </si>
  <si>
    <t xml:space="preserve">They reached out - no reply from you</t>
  </si>
  <si>
    <t xml:space="preserve">Hi Alex, Elena Ruiz passed along your name for a Director role in OT cyber. Can you share an updated resume?</t>
  </si>
  <si>
    <t xml:space="preserve">Let's target the week of the 19th. I'll loop in our talent lead.</t>
  </si>
  <si>
    <t xml:space="preserve">Likewise! Ping me anytime.</t>
  </si>
  <si>
    <t xml:space="preserve">Never messaged</t>
  </si>
  <si>
    <t xml:space="preserve">Sofia, I'm exploring Director-level OT advisory roles and would value 15 minutes of your perspective on Deloitte's practice.</t>
  </si>
  <si>
    <t xml:space="preserve">Hi Alex - yes, we are. I'll send you the req when it opens.</t>
  </si>
  <si>
    <t xml:space="preserve">James here - let's do a call next week.</t>
  </si>
  <si>
    <t xml:space="preserve">Hi Alex, would you be interested in a webinar we're running on OT/IT convergence?</t>
  </si>
  <si>
    <t xml:space="preserve">We do - several of the Big 4. Happy to make an intro.</t>
  </si>
  <si>
    <t xml:space="preserve">Thank you Alex!</t>
  </si>
  <si>
    <t xml:space="preserve">Arjun, quick question on Honeywell's OT cyber services org - who leads the Americas team now?</t>
  </si>
  <si>
    <t xml:space="preserve">Awaiting their reply</t>
  </si>
  <si>
    <t xml:space="preserve">Thanks Peter - not the right timing, but please keep me in mind.</t>
  </si>
  <si>
    <t xml:space="preserve">Hi Alex, I'm recruiting for an OT Cybersecurity Lead at Booz Allen. Open to a quick call?</t>
  </si>
  <si>
    <t xml:space="preserve">Thanks, appreciate it.</t>
  </si>
  <si>
    <t xml:space="preserve">Will do.</t>
  </si>
  <si>
    <t xml:space="preserve">Connection</t>
  </si>
  <si>
    <t xml:space="preserve">Date (UTC)</t>
  </si>
  <si>
    <t xml:space="preserve">Direction</t>
  </si>
  <si>
    <t xml:space="preserve">From</t>
  </si>
  <si>
    <t xml:space="preserve">To</t>
  </si>
  <si>
    <t xml:space="preserve">Conversation Title</t>
  </si>
  <si>
    <t xml:space="preserve">Message</t>
  </si>
  <si>
    <t xml:space="preserve">Folder</t>
  </si>
  <si>
    <t xml:space="preserve">Conversation ID</t>
  </si>
  <si>
    <t xml:space="preserve">Sent</t>
  </si>
  <si>
    <t xml:space="preserve">Alex Morgan</t>
  </si>
  <si>
    <t xml:space="preserve">INBOX</t>
  </si>
  <si>
    <t xml:space="preserve">2-SAMPLE0001==</t>
  </si>
  <si>
    <t xml:space="preserve">Hi Priya, congrats on the new role at Dragos. Would love to hear how the services team is growing this year.</t>
  </si>
  <si>
    <t xml:space="preserve">2-SAMPLE0000==</t>
  </si>
  <si>
    <t xml:space="preserve">Received</t>
  </si>
  <si>
    <t xml:space="preserve">Thanks Alex! We're hiring across the consulting side. Happy to chat - how's next Tuesday?</t>
  </si>
  <si>
    <t xml:space="preserve">Tuesday works. 11am CT?</t>
  </si>
  <si>
    <t xml:space="preserve">Daniel - great seeing you at the S4 conference. Let's stay in touch.</t>
  </si>
  <si>
    <t xml:space="preserve">2-SAMPLE0004==</t>
  </si>
  <si>
    <t xml:space="preserve">Catching up</t>
  </si>
  <si>
    <t xml:space="preserve">Alex - long time! Are you open to a conversation about our OT practice?</t>
  </si>
  <si>
    <t xml:space="preserve">2-SAMPLE0002==</t>
  </si>
  <si>
    <t xml:space="preserve">Absolutely, Elena. I'd welcome that. What does your calendar look like in January?</t>
  </si>
  <si>
    <t xml:space="preserve">2-SAMPLE0003==</t>
  </si>
  <si>
    <t xml:space="preserve">2-SAMPLE0005==</t>
  </si>
  <si>
    <t xml:space="preserve">Hi Hannah, thanks for connecting. Is KPMG building out industrial cyber in the central US?</t>
  </si>
  <si>
    <t xml:space="preserve">2-SAMPLE0006==</t>
  </si>
  <si>
    <t xml:space="preserve">2-SAMPLE0008==</t>
  </si>
  <si>
    <t xml:space="preserve">Alex Morgan, James Whitaker</t>
  </si>
  <si>
    <t xml:space="preserve">OT practice</t>
  </si>
  <si>
    <t xml:space="preserve">Alex, James and I were just talking about you - we may have a fit on the Industry X team.</t>
  </si>
  <si>
    <t xml:space="preserve">2-SAMPLE0007==</t>
  </si>
  <si>
    <t xml:space="preserve">Laura Chen, James Whitaker</t>
  </si>
  <si>
    <t xml:space="preserve">That's great to hear, thank you both. Happy to talk whenever works.</t>
  </si>
  <si>
    <t xml:space="preserve">Alex Morgan, Laura Chen</t>
  </si>
  <si>
    <t xml:space="preserve">Aisha, thanks for the demo last week. Do you partner with any consulting firms on deployments?</t>
  </si>
  <si>
    <t xml:space="preserve">2-SAMPLE0009==</t>
  </si>
  <si>
    <t xml:space="preserve">Megan, congrats on the promotion!</t>
  </si>
  <si>
    <t xml:space="preserve">2-SAMPLE0010==</t>
  </si>
  <si>
    <t xml:space="preserve">2-SAMPLE0011==</t>
  </si>
  <si>
    <t xml:space="preserve">Alex, we have an opening for a Sr. Manager in our cybersecurity services group. Interested?</t>
  </si>
  <si>
    <t xml:space="preserve">2-SAMPLE0012==</t>
  </si>
  <si>
    <t xml:space="preserve">Sam, I'm interested in the OT principal role on your team. Could we connect this week?</t>
  </si>
  <si>
    <t xml:space="preserve">2-SAMPLE0013==</t>
  </si>
  <si>
    <t xml:space="preserve">Sure - let me check with the hiring lead and circle back.</t>
  </si>
  <si>
    <t xml:space="preserve">2-SAMPLE0014==</t>
  </si>
  <si>
    <t xml:space="preserve">Isabel, I enjoyed your talk on OT risk quantification.</t>
  </si>
  <si>
    <t xml:space="preserve">2-SAMPLE0015==</t>
  </si>
  <si>
    <t xml:space="preserve">Thank you! Let's grab coffee next time you're in Phoenix.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</si>
</sst>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yyyy\-mm\-dd\ hh:mm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linkedin.com/in/sample-marcus-bell" TargetMode="External"/><Relationship Id="rId2" Type="http://schemas.openxmlformats.org/officeDocument/2006/relationships/hyperlink" Target="https://www.linkedin.com/in/sample-priya-natarajan" TargetMode="External"/><Relationship Id="rId3" Type="http://schemas.openxmlformats.org/officeDocument/2006/relationships/hyperlink" Target="https://www.linkedin.com/in/sample-daniel-okafor" TargetMode="External"/><Relationship Id="rId4" Type="http://schemas.openxmlformats.org/officeDocument/2006/relationships/hyperlink" Target="https://www.linkedin.com/in/sample-elena-ruiz" TargetMode="External"/><Relationship Id="rId5" Type="http://schemas.openxmlformats.org/officeDocument/2006/relationships/hyperlink" Target="https://www.linkedin.com/in/sample-grace-lindqvist" TargetMode="External"/><Relationship Id="rId6" Type="http://schemas.openxmlformats.org/officeDocument/2006/relationships/hyperlink" Target="https://www.linkedin.com/in/sample-robert-haines" TargetMode="External"/><Relationship Id="rId7" Type="http://schemas.openxmlformats.org/officeDocument/2006/relationships/hyperlink" Target="https://www.linkedin.com/in/sample-kevin-tran" TargetMode="External"/><Relationship Id="rId8" Type="http://schemas.openxmlformats.org/officeDocument/2006/relationships/hyperlink" Target="https://www.linkedin.com/in/sample-sofia-marchetti" TargetMode="External"/><Relationship Id="rId9" Type="http://schemas.openxmlformats.org/officeDocument/2006/relationships/hyperlink" Target="https://www.linkedin.com/in/sample-hannah-weiss" TargetMode="External"/><Relationship Id="rId10" Type="http://schemas.openxmlformats.org/officeDocument/2006/relationships/hyperlink" Target="https://www.linkedin.com/in/sample-omar-haddad" TargetMode="External"/><Relationship Id="rId11" Type="http://schemas.openxmlformats.org/officeDocument/2006/relationships/hyperlink" Target="https://www.linkedin.com/in/sample-james-whitaker" TargetMode="External"/><Relationship Id="rId12" Type="http://schemas.openxmlformats.org/officeDocument/2006/relationships/hyperlink" Target="https://www.linkedin.com/in/sample-laura-chen" TargetMode="External"/><Relationship Id="rId13" Type="http://schemas.openxmlformats.org/officeDocument/2006/relationships/hyperlink" Target="https://www.linkedin.com/in/sample-chris-delgado" TargetMode="External"/><Relationship Id="rId14" Type="http://schemas.openxmlformats.org/officeDocument/2006/relationships/hyperlink" Target="https://www.linkedin.com/in/sample-nadia-petrova" TargetMode="External"/><Relationship Id="rId15" Type="http://schemas.openxmlformats.org/officeDocument/2006/relationships/hyperlink" Target="https://www.linkedin.com/in/sample-aisha-bello" TargetMode="External"/><Relationship Id="rId16" Type="http://schemas.openxmlformats.org/officeDocument/2006/relationships/hyperlink" Target="https://www.linkedin.com/in/sample-tom-fischer" TargetMode="External"/><Relationship Id="rId17" Type="http://schemas.openxmlformats.org/officeDocument/2006/relationships/hyperlink" Target="https://www.linkedin.com/in/sample-yuki-tanaka" TargetMode="External"/><Relationship Id="rId18" Type="http://schemas.openxmlformats.org/officeDocument/2006/relationships/hyperlink" Target="https://www.linkedin.com/in/sample-brian-kowalski" TargetMode="External"/><Relationship Id="rId19" Type="http://schemas.openxmlformats.org/officeDocument/2006/relationships/hyperlink" Target="https://www.linkedin.com/in/sample-megan-foster" TargetMode="External"/><Relationship Id="rId20" Type="http://schemas.openxmlformats.org/officeDocument/2006/relationships/hyperlink" Target="https://www.linkedin.com/in/sample-arjun-mehta" TargetMode="External"/><Relationship Id="rId21" Type="http://schemas.openxmlformats.org/officeDocument/2006/relationships/hyperlink" Target="https://www.linkedin.com/in/sample-carla-santos" TargetMode="External"/><Relationship Id="rId22" Type="http://schemas.openxmlformats.org/officeDocument/2006/relationships/hyperlink" Target="https://www.linkedin.com/in/sample-diane-morris" TargetMode="External"/><Relationship Id="rId23" Type="http://schemas.openxmlformats.org/officeDocument/2006/relationships/hyperlink" Target="https://www.linkedin.com/in/sample-peter-novak" TargetMode="External"/><Relationship Id="rId24" Type="http://schemas.openxmlformats.org/officeDocument/2006/relationships/hyperlink" Target="https://www.linkedin.com/in/sample-rachel-ito" TargetMode="External"/><Relationship Id="rId25" Type="http://schemas.openxmlformats.org/officeDocument/2006/relationships/hyperlink" Target="https://www.linkedin.com/in/sample-samuel-greene" TargetMode="External"/><Relationship Id="rId26" Type="http://schemas.openxmlformats.org/officeDocument/2006/relationships/hyperlink" Target="https://www.linkedin.com/in/sample-victor-lang" TargetMode="External"/><Relationship Id="rId27" Type="http://schemas.openxmlformats.org/officeDocument/2006/relationships/hyperlink" Target="https://www.linkedin.com/in/sample-isabel-duarte" TargetMode="External"/><Relationship Id="rId28" Type="http://schemas.openxmlformats.org/officeDocument/2006/relationships/hyperlink" Target="https://www.linkedin.com/in/sample-felix-brandt" TargetMode="External"/><Relationship Id="rId29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linkedin.com/in/sample-priya-natarajan" TargetMode="External"/><Relationship Id="rId2" Type="http://schemas.openxmlformats.org/officeDocument/2006/relationships/hyperlink" Target="https://www.linkedin.com/in/sample-marcus-bell" TargetMode="External"/><Relationship Id="rId3" Type="http://schemas.openxmlformats.org/officeDocument/2006/relationships/hyperlink" Target="https://www.linkedin.com/in/sample-grace-lindqvist" TargetMode="External"/><Relationship Id="rId4" Type="http://schemas.openxmlformats.org/officeDocument/2006/relationships/hyperlink" Target="https://www.linkedin.com/in/sample-elena-ruiz" TargetMode="External"/><Relationship Id="rId5" Type="http://schemas.openxmlformats.org/officeDocument/2006/relationships/hyperlink" Target="https://www.linkedin.com/in/sample-daniel-okafor" TargetMode="External"/><Relationship Id="rId6" Type="http://schemas.openxmlformats.org/officeDocument/2006/relationships/hyperlink" Target="https://www.linkedin.com/in/sample-robert-haines" TargetMode="External"/><Relationship Id="rId7" Type="http://schemas.openxmlformats.org/officeDocument/2006/relationships/hyperlink" Target="https://www.linkedin.com/in/sample-sofia-marchetti" TargetMode="External"/><Relationship Id="rId8" Type="http://schemas.openxmlformats.org/officeDocument/2006/relationships/hyperlink" Target="https://www.linkedin.com/in/sample-kevin-tran" TargetMode="External"/><Relationship Id="rId9" Type="http://schemas.openxmlformats.org/officeDocument/2006/relationships/hyperlink" Target="https://www.linkedin.com/in/sample-hannah-weiss" TargetMode="External"/><Relationship Id="rId10" Type="http://schemas.openxmlformats.org/officeDocument/2006/relationships/hyperlink" Target="https://www.linkedin.com/in/sample-omar-haddad" TargetMode="External"/><Relationship Id="rId11" Type="http://schemas.openxmlformats.org/officeDocument/2006/relationships/hyperlink" Target="https://www.linkedin.com/in/sample-james-whitaker" TargetMode="External"/><Relationship Id="rId12" Type="http://schemas.openxmlformats.org/officeDocument/2006/relationships/hyperlink" Target="https://www.linkedin.com/in/sample-laura-chen" TargetMode="External"/><Relationship Id="rId13" Type="http://schemas.openxmlformats.org/officeDocument/2006/relationships/hyperlink" Target="https://www.linkedin.com/in/sample-chris-delgado" TargetMode="External"/><Relationship Id="rId14" Type="http://schemas.openxmlformats.org/officeDocument/2006/relationships/hyperlink" Target="https://www.linkedin.com/in/sample-nadia-petrova" TargetMode="External"/><Relationship Id="rId15" Type="http://schemas.openxmlformats.org/officeDocument/2006/relationships/hyperlink" Target="https://www.linkedin.com/in/sample-aisha-bello" TargetMode="External"/><Relationship Id="rId16" Type="http://schemas.openxmlformats.org/officeDocument/2006/relationships/hyperlink" Target="https://www.linkedin.com/in/sample-tom-fischer" TargetMode="External"/><Relationship Id="rId17" Type="http://schemas.openxmlformats.org/officeDocument/2006/relationships/hyperlink" Target="https://www.linkedin.com/in/sample-yuki-tanaka" TargetMode="External"/><Relationship Id="rId18" Type="http://schemas.openxmlformats.org/officeDocument/2006/relationships/hyperlink" Target="https://www.linkedin.com/in/sample-brian-kowalski" TargetMode="External"/><Relationship Id="rId19" Type="http://schemas.openxmlformats.org/officeDocument/2006/relationships/hyperlink" Target="https://www.linkedin.com/in/sample-megan-foster" TargetMode="External"/><Relationship Id="rId20" Type="http://schemas.openxmlformats.org/officeDocument/2006/relationships/hyperlink" Target="https://www.linkedin.com/in/sample-arjun-mehta" TargetMode="External"/><Relationship Id="rId21" Type="http://schemas.openxmlformats.org/officeDocument/2006/relationships/hyperlink" Target="https://www.linkedin.com/in/sample-carla-santos" TargetMode="External"/><Relationship Id="rId22" Type="http://schemas.openxmlformats.org/officeDocument/2006/relationships/hyperlink" Target="https://www.linkedin.com/in/sample-peter-novak" TargetMode="External"/><Relationship Id="rId23" Type="http://schemas.openxmlformats.org/officeDocument/2006/relationships/hyperlink" Target="https://www.linkedin.com/in/sample-diane-morris" TargetMode="External"/><Relationship Id="rId24" Type="http://schemas.openxmlformats.org/officeDocument/2006/relationships/hyperlink" Target="https://www.linkedin.com/in/sample-victor-lang" TargetMode="External"/><Relationship Id="rId25" Type="http://schemas.openxmlformats.org/officeDocument/2006/relationships/hyperlink" Target="https://www.linkedin.com/in/sample-samuel-greene" TargetMode="External"/><Relationship Id="rId26" Type="http://schemas.openxmlformats.org/officeDocument/2006/relationships/hyperlink" Target="https://www.linkedin.com/in/sample-rachel-ito" TargetMode="External"/><Relationship Id="rId27" Type="http://schemas.openxmlformats.org/officeDocument/2006/relationships/hyperlink" Target="https://www.linkedin.com/in/sample-isabel-duarte" TargetMode="External"/><Relationship Id="rId28" Type="http://schemas.openxmlformats.org/officeDocument/2006/relationships/hyperlink" Target="https://www.linkedin.com/in/sample-felix-brandt" TargetMode="External"/><Relationship Id="rId29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4" min="3" style="0" width="10"/>
    <col collapsed="false" customWidth="true" hidden="false" outlineLevel="0" max="7" min="5" style="0" width="12"/>
    <col collapsed="false" customWidth="true" hidden="false" outlineLevel="0" max="8" min="8" style="0" width="13"/>
    <col collapsed="false" customWidth="true" hidden="false" outlineLevel="0" max="10" min="9" style="0" width="10"/>
    <col collapsed="false" customWidth="true" hidden="false" outlineLevel="0" max="12" min="11" style="0" width="11"/>
    <col collapsed="false" customWidth="true" hidden="false" outlineLevel="0" max="13" min="13" style="0" width="13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n">
        <f aca="false">COUNTIFS('Contact Matches'!$A:$A,$A2,'Contact Matches'!$E:$E,"&lt;&gt;")</f>
        <v>2</v>
      </c>
      <c r="C2" s="2" t="n">
        <f aca="false">COUNTIFS('Contact Matches'!$A:$A,$A2,'Contact Matches'!$E:$E,"Current")</f>
        <v>2</v>
      </c>
      <c r="D2" s="2" t="n">
        <f aca="false">COUNTIFS('Contact Matches'!$A:$A,$A2,'Contact Matches'!$E:$E,"Former")</f>
        <v>0</v>
      </c>
      <c r="E2" s="2" t="n">
        <f aca="false">COUNTIFS('Contact Matches'!$A:$A,$A2,'Contact Matches'!$F:$F,"High")</f>
        <v>2</v>
      </c>
      <c r="F2" s="2" t="n">
        <f aca="false">COUNTIFS('Contact Matches'!$A:$A,$A2,'Contact Matches'!$F:$F,"Medium")</f>
        <v>0</v>
      </c>
      <c r="G2" s="2" t="n">
        <f aca="false">COUNTIFS('Contact Matches'!$A:$A,$A2,'Contact Matches'!$F:$F,"Low")</f>
        <v>0</v>
      </c>
      <c r="H2" s="2" t="n">
        <f aca="false">COUNTIFS('Target Connections'!$A:$A,$A2,'Target Connections'!$H:$H,"&gt;0")</f>
        <v>2</v>
      </c>
      <c r="I2" s="2" t="n">
        <f aca="false">COUNTIFS('Target Connections'!$A:$A,$A2,'Target Connections'!$N:$N,"Your move*")+COUNTIFS('Target Connections'!$A:$A,$A2,'Target Connections'!$N:$N,"They reached out*")</f>
        <v>1</v>
      </c>
      <c r="J2" s="2" t="n">
        <f aca="false">COUNTIFS('Target Connections'!$A:$A,$A2,'Target Connections'!$N:$N,"Awaiting*")+COUNTIFS('Target Connections'!$A:$A,$A2,'Target Connections'!$N:$N,"You reached out*")</f>
        <v>1</v>
      </c>
      <c r="K2" s="2" t="n">
        <f aca="false">COUNTIFS('Target Connections'!$A:$A,$A2,'Target Connections'!$N:$N,"Never messaged")</f>
        <v>0</v>
      </c>
      <c r="L2" s="2" t="n">
        <f aca="false">SUMIFS('Target Connections'!$I:$I,'Target Connections'!$A:$A,$A2)+SUMIFS('Target Connections'!$J:$J,'Target Connections'!$A:$A,$A2)</f>
        <v>5</v>
      </c>
      <c r="M2" s="3" t="n">
        <f aca="false">IF(H2=0,"",_xlfn.MAXIFS('Target Connections'!$L:$L,'Target Connections'!$A:$A,$A2))</f>
        <v>46057</v>
      </c>
    </row>
    <row r="3" customFormat="false" ht="15" hidden="false" customHeight="false" outlineLevel="0" collapsed="false">
      <c r="A3" s="2" t="s">
        <v>14</v>
      </c>
      <c r="B3" s="2" t="n">
        <f aca="false">COUNTIFS('Contact Matches'!$A:$A,$A3,'Contact Matches'!$E:$E,"&lt;&gt;")</f>
        <v>4</v>
      </c>
      <c r="C3" s="2" t="n">
        <f aca="false">COUNTIFS('Contact Matches'!$A:$A,$A3,'Contact Matches'!$E:$E,"Current")</f>
        <v>3</v>
      </c>
      <c r="D3" s="2" t="n">
        <f aca="false">COUNTIFS('Contact Matches'!$A:$A,$A3,'Contact Matches'!$E:$E,"Former")</f>
        <v>1</v>
      </c>
      <c r="E3" s="2" t="n">
        <f aca="false">COUNTIFS('Contact Matches'!$A:$A,$A3,'Contact Matches'!$F:$F,"High")</f>
        <v>3</v>
      </c>
      <c r="F3" s="2" t="n">
        <f aca="false">COUNTIFS('Contact Matches'!$A:$A,$A3,'Contact Matches'!$F:$F,"Medium")</f>
        <v>1</v>
      </c>
      <c r="G3" s="2" t="n">
        <f aca="false">COUNTIFS('Contact Matches'!$A:$A,$A3,'Contact Matches'!$F:$F,"Low")</f>
        <v>0</v>
      </c>
      <c r="H3" s="2" t="n">
        <f aca="false">COUNTIFS('Target Connections'!$A:$A,$A3,'Target Connections'!$H:$H,"&gt;0")</f>
        <v>3</v>
      </c>
      <c r="I3" s="2" t="n">
        <f aca="false">COUNTIFS('Target Connections'!$A:$A,$A3,'Target Connections'!$N:$N,"Your move*")+COUNTIFS('Target Connections'!$A:$A,$A3,'Target Connections'!$N:$N,"They reached out*")</f>
        <v>3</v>
      </c>
      <c r="J3" s="2" t="n">
        <f aca="false">COUNTIFS('Target Connections'!$A:$A,$A3,'Target Connections'!$N:$N,"Awaiting*")+COUNTIFS('Target Connections'!$A:$A,$A3,'Target Connections'!$N:$N,"You reached out*")</f>
        <v>0</v>
      </c>
      <c r="K3" s="2" t="n">
        <f aca="false">COUNTIFS('Target Connections'!$A:$A,$A3,'Target Connections'!$N:$N,"Never messaged")</f>
        <v>1</v>
      </c>
      <c r="L3" s="2" t="n">
        <f aca="false">SUMIFS('Target Connections'!$I:$I,'Target Connections'!$A:$A,$A3)+SUMIFS('Target Connections'!$J:$J,'Target Connections'!$A:$A,$A3)</f>
        <v>6</v>
      </c>
      <c r="M3" s="3" t="n">
        <f aca="false">IF(H3=0,"",_xlfn.MAXIFS('Target Connections'!$L:$L,'Target Connections'!$A:$A,$A3))</f>
        <v>46083</v>
      </c>
    </row>
    <row r="4" customFormat="false" ht="15" hidden="false" customHeight="false" outlineLevel="0" collapsed="false">
      <c r="A4" s="2" t="s">
        <v>15</v>
      </c>
      <c r="B4" s="2" t="n">
        <f aca="false">COUNTIFS('Contact Matches'!$A:$A,$A4,'Contact Matches'!$E:$E,"&lt;&gt;")</f>
        <v>2</v>
      </c>
      <c r="C4" s="2" t="n">
        <f aca="false">COUNTIFS('Contact Matches'!$A:$A,$A4,'Contact Matches'!$E:$E,"Current")</f>
        <v>2</v>
      </c>
      <c r="D4" s="2" t="n">
        <f aca="false">COUNTIFS('Contact Matches'!$A:$A,$A4,'Contact Matches'!$E:$E,"Former")</f>
        <v>0</v>
      </c>
      <c r="E4" s="2" t="n">
        <f aca="false">COUNTIFS('Contact Matches'!$A:$A,$A4,'Contact Matches'!$F:$F,"High")</f>
        <v>2</v>
      </c>
      <c r="F4" s="2" t="n">
        <f aca="false">COUNTIFS('Contact Matches'!$A:$A,$A4,'Contact Matches'!$F:$F,"Medium")</f>
        <v>0</v>
      </c>
      <c r="G4" s="2" t="n">
        <f aca="false">COUNTIFS('Contact Matches'!$A:$A,$A4,'Contact Matches'!$F:$F,"Low")</f>
        <v>0</v>
      </c>
      <c r="H4" s="2" t="n">
        <f aca="false">COUNTIFS('Target Connections'!$A:$A,$A4,'Target Connections'!$H:$H,"&gt;0")</f>
        <v>1</v>
      </c>
      <c r="I4" s="2" t="n">
        <f aca="false">COUNTIFS('Target Connections'!$A:$A,$A4,'Target Connections'!$N:$N,"Your move*")+COUNTIFS('Target Connections'!$A:$A,$A4,'Target Connections'!$N:$N,"They reached out*")</f>
        <v>0</v>
      </c>
      <c r="J4" s="2" t="n">
        <f aca="false">COUNTIFS('Target Connections'!$A:$A,$A4,'Target Connections'!$N:$N,"Awaiting*")+COUNTIFS('Target Connections'!$A:$A,$A4,'Target Connections'!$N:$N,"You reached out*")</f>
        <v>1</v>
      </c>
      <c r="K4" s="2" t="n">
        <f aca="false">COUNTIFS('Target Connections'!$A:$A,$A4,'Target Connections'!$N:$N,"Never messaged")</f>
        <v>1</v>
      </c>
      <c r="L4" s="2" t="n">
        <f aca="false">SUMIFS('Target Connections'!$I:$I,'Target Connections'!$A:$A,$A4)+SUMIFS('Target Connections'!$J:$J,'Target Connections'!$A:$A,$A4)</f>
        <v>1</v>
      </c>
      <c r="M4" s="3" t="n">
        <f aca="false">IF(H4=0,"",_xlfn.MAXIFS('Target Connections'!$L:$L,'Target Connections'!$A:$A,$A4))</f>
        <v>46042</v>
      </c>
    </row>
    <row r="5" customFormat="false" ht="15" hidden="false" customHeight="false" outlineLevel="0" collapsed="false">
      <c r="A5" s="2" t="s">
        <v>16</v>
      </c>
      <c r="B5" s="2" t="n">
        <f aca="false">COUNTIFS('Contact Matches'!$A:$A,$A5,'Contact Matches'!$E:$E,"&lt;&gt;")</f>
        <v>2</v>
      </c>
      <c r="C5" s="2" t="n">
        <f aca="false">COUNTIFS('Contact Matches'!$A:$A,$A5,'Contact Matches'!$E:$E,"Current")</f>
        <v>2</v>
      </c>
      <c r="D5" s="2" t="n">
        <f aca="false">COUNTIFS('Contact Matches'!$A:$A,$A5,'Contact Matches'!$E:$E,"Former")</f>
        <v>0</v>
      </c>
      <c r="E5" s="2" t="n">
        <f aca="false">COUNTIFS('Contact Matches'!$A:$A,$A5,'Contact Matches'!$F:$F,"High")</f>
        <v>2</v>
      </c>
      <c r="F5" s="2" t="n">
        <f aca="false">COUNTIFS('Contact Matches'!$A:$A,$A5,'Contact Matches'!$F:$F,"Medium")</f>
        <v>0</v>
      </c>
      <c r="G5" s="2" t="n">
        <f aca="false">COUNTIFS('Contact Matches'!$A:$A,$A5,'Contact Matches'!$F:$F,"Low")</f>
        <v>0</v>
      </c>
      <c r="H5" s="2" t="n">
        <f aca="false">COUNTIFS('Target Connections'!$A:$A,$A5,'Target Connections'!$H:$H,"&gt;0")</f>
        <v>1</v>
      </c>
      <c r="I5" s="2" t="n">
        <f aca="false">COUNTIFS('Target Connections'!$A:$A,$A5,'Target Connections'!$N:$N,"Your move*")+COUNTIFS('Target Connections'!$A:$A,$A5,'Target Connections'!$N:$N,"They reached out*")</f>
        <v>1</v>
      </c>
      <c r="J5" s="2" t="n">
        <f aca="false">COUNTIFS('Target Connections'!$A:$A,$A5,'Target Connections'!$N:$N,"Awaiting*")+COUNTIFS('Target Connections'!$A:$A,$A5,'Target Connections'!$N:$N,"You reached out*")</f>
        <v>0</v>
      </c>
      <c r="K5" s="2" t="n">
        <f aca="false">COUNTIFS('Target Connections'!$A:$A,$A5,'Target Connections'!$N:$N,"Never messaged")</f>
        <v>1</v>
      </c>
      <c r="L5" s="2" t="n">
        <f aca="false">SUMIFS('Target Connections'!$I:$I,'Target Connections'!$A:$A,$A5)+SUMIFS('Target Connections'!$J:$J,'Target Connections'!$A:$A,$A5)</f>
        <v>2</v>
      </c>
      <c r="M5" s="3" t="n">
        <f aca="false">IF(H5=0,"",_xlfn.MAXIFS('Target Connections'!$L:$L,'Target Connections'!$A:$A,$A5))</f>
        <v>45910</v>
      </c>
    </row>
    <row r="6" customFormat="false" ht="15" hidden="false" customHeight="false" outlineLevel="0" collapsed="false">
      <c r="A6" s="2" t="s">
        <v>17</v>
      </c>
      <c r="B6" s="2" t="n">
        <f aca="false">COUNTIFS('Contact Matches'!$A:$A,$A6,'Contact Matches'!$E:$E,"&lt;&gt;")</f>
        <v>0</v>
      </c>
      <c r="C6" s="2" t="n">
        <f aca="false">COUNTIFS('Contact Matches'!$A:$A,$A6,'Contact Matches'!$E:$E,"Current")</f>
        <v>0</v>
      </c>
      <c r="D6" s="2" t="n">
        <f aca="false">COUNTIFS('Contact Matches'!$A:$A,$A6,'Contact Matches'!$E:$E,"Former")</f>
        <v>0</v>
      </c>
      <c r="E6" s="2" t="n">
        <f aca="false">COUNTIFS('Contact Matches'!$A:$A,$A6,'Contact Matches'!$F:$F,"High")</f>
        <v>0</v>
      </c>
      <c r="F6" s="2" t="n">
        <f aca="false">COUNTIFS('Contact Matches'!$A:$A,$A6,'Contact Matches'!$F:$F,"Medium")</f>
        <v>0</v>
      </c>
      <c r="G6" s="2" t="n">
        <f aca="false">COUNTIFS('Contact Matches'!$A:$A,$A6,'Contact Matches'!$F:$F,"Low")</f>
        <v>0</v>
      </c>
      <c r="H6" s="2" t="n">
        <f aca="false">COUNTIFS('Target Connections'!$A:$A,$A6,'Target Connections'!$H:$H,"&gt;0")</f>
        <v>0</v>
      </c>
      <c r="I6" s="2" t="n">
        <f aca="false">COUNTIFS('Target Connections'!$A:$A,$A6,'Target Connections'!$N:$N,"Your move*")+COUNTIFS('Target Connections'!$A:$A,$A6,'Target Connections'!$N:$N,"They reached out*")</f>
        <v>0</v>
      </c>
      <c r="J6" s="2" t="n">
        <f aca="false">COUNTIFS('Target Connections'!$A:$A,$A6,'Target Connections'!$N:$N,"Awaiting*")+COUNTIFS('Target Connections'!$A:$A,$A6,'Target Connections'!$N:$N,"You reached out*")</f>
        <v>0</v>
      </c>
      <c r="K6" s="2" t="n">
        <f aca="false">COUNTIFS('Target Connections'!$A:$A,$A6,'Target Connections'!$N:$N,"Never messaged")</f>
        <v>0</v>
      </c>
      <c r="L6" s="2" t="n">
        <f aca="false">SUMIFS('Target Connections'!$I:$I,'Target Connections'!$A:$A,$A6)+SUMIFS('Target Connections'!$J:$J,'Target Connections'!$A:$A,$A6)</f>
        <v>0</v>
      </c>
      <c r="M6" s="3" t="str">
        <f aca="false">IF(H6=0,"",_xlfn.MAXIFS('Target Connections'!$L:$L,'Target Connections'!$A:$A,$A6))</f>
        <v/>
      </c>
    </row>
    <row r="7" customFormat="false" ht="15" hidden="false" customHeight="false" outlineLevel="0" collapsed="false">
      <c r="A7" s="2" t="s">
        <v>18</v>
      </c>
      <c r="B7" s="2" t="n">
        <f aca="false">COUNTIFS('Contact Matches'!$A:$A,$A7,'Contact Matches'!$E:$E,"&lt;&gt;")</f>
        <v>4</v>
      </c>
      <c r="C7" s="2" t="n">
        <f aca="false">COUNTIFS('Contact Matches'!$A:$A,$A7,'Contact Matches'!$E:$E,"Current")</f>
        <v>4</v>
      </c>
      <c r="D7" s="2" t="n">
        <f aca="false">COUNTIFS('Contact Matches'!$A:$A,$A7,'Contact Matches'!$E:$E,"Former")</f>
        <v>0</v>
      </c>
      <c r="E7" s="2" t="n">
        <f aca="false">COUNTIFS('Contact Matches'!$A:$A,$A7,'Contact Matches'!$F:$F,"High")</f>
        <v>2</v>
      </c>
      <c r="F7" s="2" t="n">
        <f aca="false">COUNTIFS('Contact Matches'!$A:$A,$A7,'Contact Matches'!$F:$F,"Medium")</f>
        <v>2</v>
      </c>
      <c r="G7" s="2" t="n">
        <f aca="false">COUNTIFS('Contact Matches'!$A:$A,$A7,'Contact Matches'!$F:$F,"Low")</f>
        <v>0</v>
      </c>
      <c r="H7" s="2" t="n">
        <f aca="false">COUNTIFS('Target Connections'!$A:$A,$A7,'Target Connections'!$H:$H,"&gt;0")</f>
        <v>3</v>
      </c>
      <c r="I7" s="2" t="n">
        <f aca="false">COUNTIFS('Target Connections'!$A:$A,$A7,'Target Connections'!$N:$N,"Your move*")+COUNTIFS('Target Connections'!$A:$A,$A7,'Target Connections'!$N:$N,"They reached out*")</f>
        <v>3</v>
      </c>
      <c r="J7" s="2" t="n">
        <f aca="false">COUNTIFS('Target Connections'!$A:$A,$A7,'Target Connections'!$N:$N,"Awaiting*")+COUNTIFS('Target Connections'!$A:$A,$A7,'Target Connections'!$N:$N,"You reached out*")</f>
        <v>0</v>
      </c>
      <c r="K7" s="2" t="n">
        <f aca="false">COUNTIFS('Target Connections'!$A:$A,$A7,'Target Connections'!$N:$N,"Never messaged")</f>
        <v>1</v>
      </c>
      <c r="L7" s="2" t="n">
        <f aca="false">SUMIFS('Target Connections'!$I:$I,'Target Connections'!$A:$A,$A7)+SUMIFS('Target Connections'!$J:$J,'Target Connections'!$A:$A,$A7)</f>
        <v>7</v>
      </c>
      <c r="M7" s="3" t="n">
        <f aca="false">IF(H7=0,"",_xlfn.MAXIFS('Target Connections'!$L:$L,'Target Connections'!$A:$A,$A7))</f>
        <v>45933</v>
      </c>
    </row>
    <row r="8" customFormat="false" ht="15" hidden="false" customHeight="false" outlineLevel="0" collapsed="false">
      <c r="A8" s="2" t="s">
        <v>19</v>
      </c>
      <c r="B8" s="2" t="n">
        <f aca="false">COUNTIFS('Contact Matches'!$A:$A,$A8,'Contact Matches'!$E:$E,"&lt;&gt;")</f>
        <v>2</v>
      </c>
      <c r="C8" s="2" t="n">
        <f aca="false">COUNTIFS('Contact Matches'!$A:$A,$A8,'Contact Matches'!$E:$E,"Current")</f>
        <v>2</v>
      </c>
      <c r="D8" s="2" t="n">
        <f aca="false">COUNTIFS('Contact Matches'!$A:$A,$A8,'Contact Matches'!$E:$E,"Former")</f>
        <v>0</v>
      </c>
      <c r="E8" s="2" t="n">
        <f aca="false">COUNTIFS('Contact Matches'!$A:$A,$A8,'Contact Matches'!$F:$F,"High")</f>
        <v>2</v>
      </c>
      <c r="F8" s="2" t="n">
        <f aca="false">COUNTIFS('Contact Matches'!$A:$A,$A8,'Contact Matches'!$F:$F,"Medium")</f>
        <v>0</v>
      </c>
      <c r="G8" s="2" t="n">
        <f aca="false">COUNTIFS('Contact Matches'!$A:$A,$A8,'Contact Matches'!$F:$F,"Low")</f>
        <v>0</v>
      </c>
      <c r="H8" s="2" t="n">
        <f aca="false">COUNTIFS('Target Connections'!$A:$A,$A8,'Target Connections'!$H:$H,"&gt;0")</f>
        <v>1</v>
      </c>
      <c r="I8" s="2" t="n">
        <f aca="false">COUNTIFS('Target Connections'!$A:$A,$A8,'Target Connections'!$N:$N,"Your move*")+COUNTIFS('Target Connections'!$A:$A,$A8,'Target Connections'!$N:$N,"They reached out*")</f>
        <v>1</v>
      </c>
      <c r="J8" s="2" t="n">
        <f aca="false">COUNTIFS('Target Connections'!$A:$A,$A8,'Target Connections'!$N:$N,"Awaiting*")+COUNTIFS('Target Connections'!$A:$A,$A8,'Target Connections'!$N:$N,"You reached out*")</f>
        <v>0</v>
      </c>
      <c r="K8" s="2" t="n">
        <f aca="false">COUNTIFS('Target Connections'!$A:$A,$A8,'Target Connections'!$N:$N,"Never messaged")</f>
        <v>1</v>
      </c>
      <c r="L8" s="2" t="n">
        <f aca="false">SUMIFS('Target Connections'!$I:$I,'Target Connections'!$A:$A,$A8)+SUMIFS('Target Connections'!$J:$J,'Target Connections'!$A:$A,$A8)</f>
        <v>2</v>
      </c>
      <c r="M8" s="3" t="n">
        <f aca="false">IF(H8=0,"",_xlfn.MAXIFS('Target Connections'!$L:$L,'Target Connections'!$A:$A,$A8))</f>
        <v>45792</v>
      </c>
    </row>
    <row r="9" customFormat="false" ht="15" hidden="false" customHeight="false" outlineLevel="0" collapsed="false">
      <c r="A9" s="2" t="s">
        <v>20</v>
      </c>
      <c r="B9" s="2" t="n">
        <f aca="false">COUNTIFS('Contact Matches'!$A:$A,$A9,'Contact Matches'!$E:$E,"&lt;&gt;")</f>
        <v>1</v>
      </c>
      <c r="C9" s="2" t="n">
        <f aca="false">COUNTIFS('Contact Matches'!$A:$A,$A9,'Contact Matches'!$E:$E,"Current")</f>
        <v>1</v>
      </c>
      <c r="D9" s="2" t="n">
        <f aca="false">COUNTIFS('Contact Matches'!$A:$A,$A9,'Contact Matches'!$E:$E,"Former")</f>
        <v>0</v>
      </c>
      <c r="E9" s="2" t="n">
        <f aca="false">COUNTIFS('Contact Matches'!$A:$A,$A9,'Contact Matches'!$F:$F,"High")</f>
        <v>1</v>
      </c>
      <c r="F9" s="2" t="n">
        <f aca="false">COUNTIFS('Contact Matches'!$A:$A,$A9,'Contact Matches'!$F:$F,"Medium")</f>
        <v>0</v>
      </c>
      <c r="G9" s="2" t="n">
        <f aca="false">COUNTIFS('Contact Matches'!$A:$A,$A9,'Contact Matches'!$F:$F,"Low")</f>
        <v>0</v>
      </c>
      <c r="H9" s="2" t="n">
        <f aca="false">COUNTIFS('Target Connections'!$A:$A,$A9,'Target Connections'!$H:$H,"&gt;0")</f>
        <v>0</v>
      </c>
      <c r="I9" s="2" t="n">
        <f aca="false">COUNTIFS('Target Connections'!$A:$A,$A9,'Target Connections'!$N:$N,"Your move*")+COUNTIFS('Target Connections'!$A:$A,$A9,'Target Connections'!$N:$N,"They reached out*")</f>
        <v>0</v>
      </c>
      <c r="J9" s="2" t="n">
        <f aca="false">COUNTIFS('Target Connections'!$A:$A,$A9,'Target Connections'!$N:$N,"Awaiting*")+COUNTIFS('Target Connections'!$A:$A,$A9,'Target Connections'!$N:$N,"You reached out*")</f>
        <v>0</v>
      </c>
      <c r="K9" s="2" t="n">
        <f aca="false">COUNTIFS('Target Connections'!$A:$A,$A9,'Target Connections'!$N:$N,"Never messaged")</f>
        <v>1</v>
      </c>
      <c r="L9" s="2" t="n">
        <f aca="false">SUMIFS('Target Connections'!$I:$I,'Target Connections'!$A:$A,$A9)+SUMIFS('Target Connections'!$J:$J,'Target Connections'!$A:$A,$A9)</f>
        <v>0</v>
      </c>
      <c r="M9" s="3" t="str">
        <f aca="false">IF(H9=0,"",_xlfn.MAXIFS('Target Connections'!$L:$L,'Target Connections'!$A:$A,$A9))</f>
        <v/>
      </c>
    </row>
    <row r="10" customFormat="false" ht="15" hidden="false" customHeight="false" outlineLevel="0" collapsed="false">
      <c r="A10" s="2" t="s">
        <v>21</v>
      </c>
      <c r="B10" s="2" t="n">
        <f aca="false">COUNTIFS('Contact Matches'!$A:$A,$A10,'Contact Matches'!$E:$E,"&lt;&gt;")</f>
        <v>1</v>
      </c>
      <c r="C10" s="2" t="n">
        <f aca="false">COUNTIFS('Contact Matches'!$A:$A,$A10,'Contact Matches'!$E:$E,"Current")</f>
        <v>1</v>
      </c>
      <c r="D10" s="2" t="n">
        <f aca="false">COUNTIFS('Contact Matches'!$A:$A,$A10,'Contact Matches'!$E:$E,"Former")</f>
        <v>0</v>
      </c>
      <c r="E10" s="2" t="n">
        <f aca="false">COUNTIFS('Contact Matches'!$A:$A,$A10,'Contact Matches'!$F:$F,"High")</f>
        <v>0</v>
      </c>
      <c r="F10" s="2" t="n">
        <f aca="false">COUNTIFS('Contact Matches'!$A:$A,$A10,'Contact Matches'!$F:$F,"Medium")</f>
        <v>1</v>
      </c>
      <c r="G10" s="2" t="n">
        <f aca="false">COUNTIFS('Contact Matches'!$A:$A,$A10,'Contact Matches'!$F:$F,"Low")</f>
        <v>0</v>
      </c>
      <c r="H10" s="2" t="n">
        <f aca="false">COUNTIFS('Target Connections'!$A:$A,$A10,'Target Connections'!$H:$H,"&gt;0")</f>
        <v>0</v>
      </c>
      <c r="I10" s="2" t="n">
        <f aca="false">COUNTIFS('Target Connections'!$A:$A,$A10,'Target Connections'!$N:$N,"Your move*")+COUNTIFS('Target Connections'!$A:$A,$A10,'Target Connections'!$N:$N,"They reached out*")</f>
        <v>0</v>
      </c>
      <c r="J10" s="2" t="n">
        <f aca="false">COUNTIFS('Target Connections'!$A:$A,$A10,'Target Connections'!$N:$N,"Awaiting*")+COUNTIFS('Target Connections'!$A:$A,$A10,'Target Connections'!$N:$N,"You reached out*")</f>
        <v>0</v>
      </c>
      <c r="K10" s="2" t="n">
        <f aca="false">COUNTIFS('Target Connections'!$A:$A,$A10,'Target Connections'!$N:$N,"Never messaged")</f>
        <v>1</v>
      </c>
      <c r="L10" s="2" t="n">
        <f aca="false">SUMIFS('Target Connections'!$I:$I,'Target Connections'!$A:$A,$A10)+SUMIFS('Target Connections'!$J:$J,'Target Connections'!$A:$A,$A10)</f>
        <v>0</v>
      </c>
      <c r="M10" s="3" t="str">
        <f aca="false">IF(H10=0,"",_xlfn.MAXIFS('Target Connections'!$L:$L,'Target Connections'!$A:$A,$A10))</f>
        <v/>
      </c>
    </row>
    <row r="11" customFormat="false" ht="15" hidden="false" customHeight="false" outlineLevel="0" collapsed="false">
      <c r="A11" s="2" t="s">
        <v>22</v>
      </c>
      <c r="B11" s="2" t="n">
        <f aca="false">COUNTIFS('Contact Matches'!$A:$A,$A11,'Contact Matches'!$E:$E,"&lt;&gt;")</f>
        <v>1</v>
      </c>
      <c r="C11" s="2" t="n">
        <f aca="false">COUNTIFS('Contact Matches'!$A:$A,$A11,'Contact Matches'!$E:$E,"Current")</f>
        <v>1</v>
      </c>
      <c r="D11" s="2" t="n">
        <f aca="false">COUNTIFS('Contact Matches'!$A:$A,$A11,'Contact Matches'!$E:$E,"Former")</f>
        <v>0</v>
      </c>
      <c r="E11" s="2" t="n">
        <f aca="false">COUNTIFS('Contact Matches'!$A:$A,$A11,'Contact Matches'!$F:$F,"High")</f>
        <v>1</v>
      </c>
      <c r="F11" s="2" t="n">
        <f aca="false">COUNTIFS('Contact Matches'!$A:$A,$A11,'Contact Matches'!$F:$F,"Medium")</f>
        <v>0</v>
      </c>
      <c r="G11" s="2" t="n">
        <f aca="false">COUNTIFS('Contact Matches'!$A:$A,$A11,'Contact Matches'!$F:$F,"Low")</f>
        <v>0</v>
      </c>
      <c r="H11" s="2" t="n">
        <f aca="false">COUNTIFS('Target Connections'!$A:$A,$A11,'Target Connections'!$H:$H,"&gt;0")</f>
        <v>1</v>
      </c>
      <c r="I11" s="2" t="n">
        <f aca="false">COUNTIFS('Target Connections'!$A:$A,$A11,'Target Connections'!$N:$N,"Your move*")+COUNTIFS('Target Connections'!$A:$A,$A11,'Target Connections'!$N:$N,"They reached out*")</f>
        <v>1</v>
      </c>
      <c r="J11" s="2" t="n">
        <f aca="false">COUNTIFS('Target Connections'!$A:$A,$A11,'Target Connections'!$N:$N,"Awaiting*")+COUNTIFS('Target Connections'!$A:$A,$A11,'Target Connections'!$N:$N,"You reached out*")</f>
        <v>0</v>
      </c>
      <c r="K11" s="2" t="n">
        <f aca="false">COUNTIFS('Target Connections'!$A:$A,$A11,'Target Connections'!$N:$N,"Never messaged")</f>
        <v>0</v>
      </c>
      <c r="L11" s="2" t="n">
        <f aca="false">SUMIFS('Target Connections'!$I:$I,'Target Connections'!$A:$A,$A11)+SUMIFS('Target Connections'!$J:$J,'Target Connections'!$A:$A,$A11)</f>
        <v>2</v>
      </c>
      <c r="M11" s="3" t="n">
        <f aca="false">IF(H11=0,"",_xlfn.MAXIFS('Target Connections'!$L:$L,'Target Connections'!$A:$A,$A11))</f>
        <v>44867</v>
      </c>
    </row>
    <row r="12" customFormat="false" ht="15" hidden="false" customHeight="false" outlineLevel="0" collapsed="false">
      <c r="A12" s="2" t="s">
        <v>23</v>
      </c>
      <c r="B12" s="2" t="n">
        <f aca="false">COUNTIFS('Contact Matches'!$A:$A,$A12,'Contact Matches'!$E:$E,"&lt;&gt;")</f>
        <v>2</v>
      </c>
      <c r="C12" s="2" t="n">
        <f aca="false">COUNTIFS('Contact Matches'!$A:$A,$A12,'Contact Matches'!$E:$E,"Current")</f>
        <v>2</v>
      </c>
      <c r="D12" s="2" t="n">
        <f aca="false">COUNTIFS('Contact Matches'!$A:$A,$A12,'Contact Matches'!$E:$E,"Former")</f>
        <v>0</v>
      </c>
      <c r="E12" s="2" t="n">
        <f aca="false">COUNTIFS('Contact Matches'!$A:$A,$A12,'Contact Matches'!$F:$F,"High")</f>
        <v>2</v>
      </c>
      <c r="F12" s="2" t="n">
        <f aca="false">COUNTIFS('Contact Matches'!$A:$A,$A12,'Contact Matches'!$F:$F,"Medium")</f>
        <v>0</v>
      </c>
      <c r="G12" s="2" t="n">
        <f aca="false">COUNTIFS('Contact Matches'!$A:$A,$A12,'Contact Matches'!$F:$F,"Low")</f>
        <v>0</v>
      </c>
      <c r="H12" s="2" t="n">
        <f aca="false">COUNTIFS('Target Connections'!$A:$A,$A12,'Target Connections'!$H:$H,"&gt;0")</f>
        <v>1</v>
      </c>
      <c r="I12" s="2" t="n">
        <f aca="false">COUNTIFS('Target Connections'!$A:$A,$A12,'Target Connections'!$N:$N,"Your move*")+COUNTIFS('Target Connections'!$A:$A,$A12,'Target Connections'!$N:$N,"They reached out*")</f>
        <v>0</v>
      </c>
      <c r="J12" s="2" t="n">
        <f aca="false">COUNTIFS('Target Connections'!$A:$A,$A12,'Target Connections'!$N:$N,"Awaiting*")+COUNTIFS('Target Connections'!$A:$A,$A12,'Target Connections'!$N:$N,"You reached out*")</f>
        <v>1</v>
      </c>
      <c r="K12" s="2" t="n">
        <f aca="false">COUNTIFS('Target Connections'!$A:$A,$A12,'Target Connections'!$N:$N,"Never messaged")</f>
        <v>1</v>
      </c>
      <c r="L12" s="2" t="n">
        <f aca="false">SUMIFS('Target Connections'!$I:$I,'Target Connections'!$A:$A,$A12)+SUMIFS('Target Connections'!$J:$J,'Target Connections'!$A:$A,$A12)</f>
        <v>1</v>
      </c>
      <c r="M12" s="3" t="n">
        <f aca="false">IF(H12=0,"",_xlfn.MAXIFS('Target Connections'!$L:$L,'Target Connections'!$A:$A,$A12))</f>
        <v>46078</v>
      </c>
    </row>
    <row r="13" customFormat="false" ht="15" hidden="false" customHeight="false" outlineLevel="0" collapsed="false">
      <c r="A13" s="2" t="s">
        <v>24</v>
      </c>
      <c r="B13" s="2" t="n">
        <f aca="false">COUNTIFS('Contact Matches'!$A:$A,$A13,'Contact Matches'!$E:$E,"&lt;&gt;")</f>
        <v>2</v>
      </c>
      <c r="C13" s="2" t="n">
        <f aca="false">COUNTIFS('Contact Matches'!$A:$A,$A13,'Contact Matches'!$E:$E,"Current")</f>
        <v>2</v>
      </c>
      <c r="D13" s="2" t="n">
        <f aca="false">COUNTIFS('Contact Matches'!$A:$A,$A13,'Contact Matches'!$E:$E,"Former")</f>
        <v>0</v>
      </c>
      <c r="E13" s="2" t="n">
        <f aca="false">COUNTIFS('Contact Matches'!$A:$A,$A13,'Contact Matches'!$F:$F,"High")</f>
        <v>2</v>
      </c>
      <c r="F13" s="2" t="n">
        <f aca="false">COUNTIFS('Contact Matches'!$A:$A,$A13,'Contact Matches'!$F:$F,"Medium")</f>
        <v>0</v>
      </c>
      <c r="G13" s="2" t="n">
        <f aca="false">COUNTIFS('Contact Matches'!$A:$A,$A13,'Contact Matches'!$F:$F,"Low")</f>
        <v>0</v>
      </c>
      <c r="H13" s="2" t="n">
        <f aca="false">COUNTIFS('Target Connections'!$A:$A,$A13,'Target Connections'!$H:$H,"&gt;0")</f>
        <v>1</v>
      </c>
      <c r="I13" s="2" t="n">
        <f aca="false">COUNTIFS('Target Connections'!$A:$A,$A13,'Target Connections'!$N:$N,"Your move*")+COUNTIFS('Target Connections'!$A:$A,$A13,'Target Connections'!$N:$N,"They reached out*")</f>
        <v>0</v>
      </c>
      <c r="J13" s="2" t="n">
        <f aca="false">COUNTIFS('Target Connections'!$A:$A,$A13,'Target Connections'!$N:$N,"Awaiting*")+COUNTIFS('Target Connections'!$A:$A,$A13,'Target Connections'!$N:$N,"You reached out*")</f>
        <v>1</v>
      </c>
      <c r="K13" s="2" t="n">
        <f aca="false">COUNTIFS('Target Connections'!$A:$A,$A13,'Target Connections'!$N:$N,"Never messaged")</f>
        <v>1</v>
      </c>
      <c r="L13" s="2" t="n">
        <f aca="false">SUMIFS('Target Connections'!$I:$I,'Target Connections'!$A:$A,$A13)+SUMIFS('Target Connections'!$J:$J,'Target Connections'!$A:$A,$A13)</f>
        <v>2</v>
      </c>
      <c r="M13" s="3" t="n">
        <f aca="false">IF(H13=0,"",_xlfn.MAXIFS('Target Connections'!$L:$L,'Target Connections'!$A:$A,$A13))</f>
        <v>45524</v>
      </c>
    </row>
    <row r="14" customFormat="false" ht="15" hidden="false" customHeight="false" outlineLevel="0" collapsed="false">
      <c r="A14" s="2" t="s">
        <v>25</v>
      </c>
      <c r="B14" s="2" t="n">
        <f aca="false">COUNTIFS('Contact Matches'!$A:$A,$A14,'Contact Matches'!$E:$E,"&lt;&gt;")</f>
        <v>3</v>
      </c>
      <c r="C14" s="2" t="n">
        <f aca="false">COUNTIFS('Contact Matches'!$A:$A,$A14,'Contact Matches'!$E:$E,"Current")</f>
        <v>3</v>
      </c>
      <c r="D14" s="2" t="n">
        <f aca="false">COUNTIFS('Contact Matches'!$A:$A,$A14,'Contact Matches'!$E:$E,"Former")</f>
        <v>0</v>
      </c>
      <c r="E14" s="2" t="n">
        <f aca="false">COUNTIFS('Contact Matches'!$A:$A,$A14,'Contact Matches'!$F:$F,"High")</f>
        <v>3</v>
      </c>
      <c r="F14" s="2" t="n">
        <f aca="false">COUNTIFS('Contact Matches'!$A:$A,$A14,'Contact Matches'!$F:$F,"Medium")</f>
        <v>0</v>
      </c>
      <c r="G14" s="2" t="n">
        <f aca="false">COUNTIFS('Contact Matches'!$A:$A,$A14,'Contact Matches'!$F:$F,"Low")</f>
        <v>0</v>
      </c>
      <c r="H14" s="2" t="n">
        <f aca="false">COUNTIFS('Target Connections'!$A:$A,$A14,'Target Connections'!$H:$H,"&gt;0")</f>
        <v>2</v>
      </c>
      <c r="I14" s="2" t="n">
        <f aca="false">COUNTIFS('Target Connections'!$A:$A,$A14,'Target Connections'!$N:$N,"Your move*")+COUNTIFS('Target Connections'!$A:$A,$A14,'Target Connections'!$N:$N,"They reached out*")</f>
        <v>1</v>
      </c>
      <c r="J14" s="2" t="n">
        <f aca="false">COUNTIFS('Target Connections'!$A:$A,$A14,'Target Connections'!$N:$N,"Awaiting*")+COUNTIFS('Target Connections'!$A:$A,$A14,'Target Connections'!$N:$N,"You reached out*")</f>
        <v>1</v>
      </c>
      <c r="K14" s="2" t="n">
        <f aca="false">COUNTIFS('Target Connections'!$A:$A,$A14,'Target Connections'!$N:$N,"Never messaged")</f>
        <v>1</v>
      </c>
      <c r="L14" s="2" t="n">
        <f aca="false">SUMIFS('Target Connections'!$I:$I,'Target Connections'!$A:$A,$A14)+SUMIFS('Target Connections'!$J:$J,'Target Connections'!$A:$A,$A14)</f>
        <v>4</v>
      </c>
      <c r="M14" s="3" t="n">
        <f aca="false">IF(H14=0,"",_xlfn.MAXIFS('Target Connections'!$L:$L,'Target Connections'!$A:$A,$A14))</f>
        <v>46091</v>
      </c>
    </row>
    <row r="15" customFormat="false" ht="15" hidden="false" customHeight="false" outlineLevel="0" collapsed="false">
      <c r="A15" s="2" t="s">
        <v>26</v>
      </c>
      <c r="B15" s="2" t="n">
        <f aca="false">COUNTIFS('Contact Matches'!$A:$A,$A15,'Contact Matches'!$E:$E,"&lt;&gt;")</f>
        <v>0</v>
      </c>
      <c r="C15" s="2" t="n">
        <f aca="false">COUNTIFS('Contact Matches'!$A:$A,$A15,'Contact Matches'!$E:$E,"Current")</f>
        <v>0</v>
      </c>
      <c r="D15" s="2" t="n">
        <f aca="false">COUNTIFS('Contact Matches'!$A:$A,$A15,'Contact Matches'!$E:$E,"Former")</f>
        <v>0</v>
      </c>
      <c r="E15" s="2" t="n">
        <f aca="false">COUNTIFS('Contact Matches'!$A:$A,$A15,'Contact Matches'!$F:$F,"High")</f>
        <v>0</v>
      </c>
      <c r="F15" s="2" t="n">
        <f aca="false">COUNTIFS('Contact Matches'!$A:$A,$A15,'Contact Matches'!$F:$F,"Medium")</f>
        <v>0</v>
      </c>
      <c r="G15" s="2" t="n">
        <f aca="false">COUNTIFS('Contact Matches'!$A:$A,$A15,'Contact Matches'!$F:$F,"Low")</f>
        <v>0</v>
      </c>
      <c r="H15" s="2" t="n">
        <f aca="false">COUNTIFS('Target Connections'!$A:$A,$A15,'Target Connections'!$H:$H,"&gt;0")</f>
        <v>0</v>
      </c>
      <c r="I15" s="2" t="n">
        <f aca="false">COUNTIFS('Target Connections'!$A:$A,$A15,'Target Connections'!$N:$N,"Your move*")+COUNTIFS('Target Connections'!$A:$A,$A15,'Target Connections'!$N:$N,"They reached out*")</f>
        <v>0</v>
      </c>
      <c r="J15" s="2" t="n">
        <f aca="false">COUNTIFS('Target Connections'!$A:$A,$A15,'Target Connections'!$N:$N,"Awaiting*")+COUNTIFS('Target Connections'!$A:$A,$A15,'Target Connections'!$N:$N,"You reached out*")</f>
        <v>0</v>
      </c>
      <c r="K15" s="2" t="n">
        <f aca="false">COUNTIFS('Target Connections'!$A:$A,$A15,'Target Connections'!$N:$N,"Never messaged")</f>
        <v>0</v>
      </c>
      <c r="L15" s="2" t="n">
        <f aca="false">SUMIFS('Target Connections'!$I:$I,'Target Connections'!$A:$A,$A15)+SUMIFS('Target Connections'!$J:$J,'Target Connections'!$A:$A,$A15)</f>
        <v>0</v>
      </c>
      <c r="M15" s="3" t="str">
        <f aca="false">IF(H15=0,"",_xlfn.MAXIFS('Target Connections'!$L:$L,'Target Connections'!$A:$A,$A15))</f>
        <v/>
      </c>
    </row>
    <row r="16" customFormat="false" ht="15" hidden="false" customHeight="false" outlineLevel="0" collapsed="false">
      <c r="A16" s="2" t="s">
        <v>27</v>
      </c>
      <c r="B16" s="2" t="n">
        <f aca="false">COUNTIFS('Contact Matches'!$A:$A,$A16,'Contact Matches'!$E:$E,"&lt;&gt;")</f>
        <v>2</v>
      </c>
      <c r="C16" s="2" t="n">
        <f aca="false">COUNTIFS('Contact Matches'!$A:$A,$A16,'Contact Matches'!$E:$E,"Current")</f>
        <v>2</v>
      </c>
      <c r="D16" s="2" t="n">
        <f aca="false">COUNTIFS('Contact Matches'!$A:$A,$A16,'Contact Matches'!$E:$E,"Former")</f>
        <v>0</v>
      </c>
      <c r="E16" s="2" t="n">
        <f aca="false">COUNTIFS('Contact Matches'!$A:$A,$A16,'Contact Matches'!$F:$F,"High")</f>
        <v>1</v>
      </c>
      <c r="F16" s="2" t="n">
        <f aca="false">COUNTIFS('Contact Matches'!$A:$A,$A16,'Contact Matches'!$F:$F,"Medium")</f>
        <v>1</v>
      </c>
      <c r="G16" s="2" t="n">
        <f aca="false">COUNTIFS('Contact Matches'!$A:$A,$A16,'Contact Matches'!$F:$F,"Low")</f>
        <v>0</v>
      </c>
      <c r="H16" s="2" t="n">
        <f aca="false">COUNTIFS('Target Connections'!$A:$A,$A16,'Target Connections'!$H:$H,"&gt;0")</f>
        <v>1</v>
      </c>
      <c r="I16" s="2" t="n">
        <f aca="false">COUNTIFS('Target Connections'!$A:$A,$A16,'Target Connections'!$N:$N,"Your move*")+COUNTIFS('Target Connections'!$A:$A,$A16,'Target Connections'!$N:$N,"They reached out*")</f>
        <v>0</v>
      </c>
      <c r="J16" s="2" t="n">
        <f aca="false">COUNTIFS('Target Connections'!$A:$A,$A16,'Target Connections'!$N:$N,"Awaiting*")+COUNTIFS('Target Connections'!$A:$A,$A16,'Target Connections'!$N:$N,"You reached out*")</f>
        <v>1</v>
      </c>
      <c r="K16" s="2" t="n">
        <f aca="false">COUNTIFS('Target Connections'!$A:$A,$A16,'Target Connections'!$N:$N,"Never messaged")</f>
        <v>1</v>
      </c>
      <c r="L16" s="2" t="n">
        <f aca="false">SUMIFS('Target Connections'!$I:$I,'Target Connections'!$A:$A,$A16)+SUMIFS('Target Connections'!$J:$J,'Target Connections'!$A:$A,$A16)</f>
        <v>3</v>
      </c>
      <c r="M16" s="3" t="n">
        <f aca="false">IF(H16=0,"",_xlfn.MAXIFS('Target Connections'!$L:$L,'Target Connections'!$A:$A,$A16))</f>
        <v>45861</v>
      </c>
    </row>
    <row r="17" customFormat="false" ht="15" hidden="false" customHeight="false" outlineLevel="0" collapsed="false">
      <c r="A17" s="4" t="s">
        <v>28</v>
      </c>
      <c r="B17" s="4" t="n">
        <f aca="false">SUM(B2:B16)</f>
        <v>28</v>
      </c>
      <c r="C17" s="4" t="n">
        <f aca="false">SUM(C2:C16)</f>
        <v>27</v>
      </c>
      <c r="D17" s="4" t="n">
        <f aca="false">SUM(D2:D16)</f>
        <v>1</v>
      </c>
      <c r="E17" s="4" t="n">
        <f aca="false">SUM(E2:E16)</f>
        <v>23</v>
      </c>
      <c r="F17" s="4" t="n">
        <f aca="false">SUM(F2:F16)</f>
        <v>5</v>
      </c>
      <c r="G17" s="4" t="n">
        <f aca="false">SUM(G2:G16)</f>
        <v>0</v>
      </c>
      <c r="H17" s="4" t="n">
        <f aca="false">SUM(H2:H16)</f>
        <v>17</v>
      </c>
      <c r="I17" s="4" t="n">
        <f aca="false">SUM(I2:I16)</f>
        <v>11</v>
      </c>
      <c r="J17" s="4" t="n">
        <f aca="false">SUM(J2:J16)</f>
        <v>6</v>
      </c>
      <c r="K17" s="4" t="n">
        <f aca="false">SUM(K2:K16)</f>
        <v>11</v>
      </c>
      <c r="L17" s="4" t="n">
        <f aca="false">SUM(L2:L16)</f>
        <v>35</v>
      </c>
      <c r="M17" s="4"/>
    </row>
    <row r="19" customFormat="false" ht="15" hidden="false" customHeight="false" outlineLevel="0" collapsed="false">
      <c r="A19" s="5" t="s">
        <v>29</v>
      </c>
    </row>
    <row r="20" customFormat="false" ht="15" hidden="false" customHeight="false" outlineLevel="0" collapsed="false">
      <c r="A20" s="6" t="s">
        <v>30</v>
      </c>
    </row>
    <row r="21" customFormat="false" ht="15" hidden="false" customHeight="false" outlineLevel="0" collapsed="false">
      <c r="A21" s="6" t="s">
        <v>31</v>
      </c>
    </row>
    <row r="22" customFormat="false" ht="15" hidden="false" customHeight="false" outlineLevel="0" collapsed="false">
      <c r="A22" s="6" t="s">
        <v>32</v>
      </c>
    </row>
    <row r="23" customFormat="false" ht="15" hidden="false" customHeight="false" outlineLevel="0" collapsed="false">
      <c r="A23" s="6" t="s">
        <v>33</v>
      </c>
    </row>
    <row r="24" customFormat="false" ht="15" hidden="false" customHeight="false" outlineLevel="0" collapsed="false">
      <c r="A24" s="6" t="s">
        <v>34</v>
      </c>
    </row>
    <row r="25" customFormat="false" ht="15" hidden="false" customHeight="false" outlineLevel="0" collapsed="false">
      <c r="A25" s="6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48"/>
    <col collapsed="false" customWidth="true" hidden="false" outlineLevel="0" max="4" min="4" style="0" width="46"/>
    <col collapsed="false" customWidth="true" hidden="false" outlineLevel="0" max="6" min="5" style="0" width="16"/>
    <col collapsed="false" customWidth="true" hidden="false" outlineLevel="0" max="7" min="7" style="0" width="34"/>
    <col collapsed="false" customWidth="true" hidden="false" outlineLevel="0" max="8" min="8" style="0" width="44"/>
  </cols>
  <sheetData>
    <row r="1" customFormat="false" ht="26.85" hidden="false" customHeight="false" outlineLevel="0" collapsed="false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customFormat="false" ht="15" hidden="false" customHeight="false" outlineLevel="0" collapsed="false">
      <c r="A2" s="2" t="s">
        <v>13</v>
      </c>
      <c r="B2" s="2" t="s">
        <v>44</v>
      </c>
      <c r="C2" s="2" t="s">
        <v>45</v>
      </c>
      <c r="D2" s="7" t="s">
        <v>46</v>
      </c>
      <c r="E2" s="2" t="s">
        <v>2</v>
      </c>
      <c r="F2" s="2" t="s">
        <v>47</v>
      </c>
      <c r="G2" s="2" t="s">
        <v>48</v>
      </c>
      <c r="H2" s="2"/>
    </row>
    <row r="3" customFormat="false" ht="15" hidden="false" customHeight="false" outlineLevel="0" collapsed="false">
      <c r="A3" s="2" t="s">
        <v>13</v>
      </c>
      <c r="B3" s="2" t="s">
        <v>49</v>
      </c>
      <c r="C3" s="2" t="s">
        <v>50</v>
      </c>
      <c r="D3" s="7" t="s">
        <v>51</v>
      </c>
      <c r="E3" s="2" t="s">
        <v>2</v>
      </c>
      <c r="F3" s="2" t="s">
        <v>47</v>
      </c>
      <c r="G3" s="2" t="s">
        <v>48</v>
      </c>
      <c r="H3" s="2"/>
    </row>
    <row r="4" customFormat="false" ht="15" hidden="false" customHeight="false" outlineLevel="0" collapsed="false">
      <c r="A4" s="2" t="s">
        <v>14</v>
      </c>
      <c r="B4" s="2" t="s">
        <v>52</v>
      </c>
      <c r="C4" s="2" t="s">
        <v>53</v>
      </c>
      <c r="D4" s="7" t="s">
        <v>54</v>
      </c>
      <c r="E4" s="2" t="s">
        <v>2</v>
      </c>
      <c r="F4" s="2" t="s">
        <v>47</v>
      </c>
      <c r="G4" s="2" t="s">
        <v>55</v>
      </c>
      <c r="H4" s="2"/>
    </row>
    <row r="5" customFormat="false" ht="15" hidden="false" customHeight="false" outlineLevel="0" collapsed="false">
      <c r="A5" s="2" t="s">
        <v>14</v>
      </c>
      <c r="B5" s="2" t="s">
        <v>56</v>
      </c>
      <c r="C5" s="2" t="s">
        <v>57</v>
      </c>
      <c r="D5" s="7" t="s">
        <v>58</v>
      </c>
      <c r="E5" s="2" t="s">
        <v>2</v>
      </c>
      <c r="F5" s="2" t="s">
        <v>47</v>
      </c>
      <c r="G5" s="2" t="s">
        <v>59</v>
      </c>
      <c r="H5" s="2"/>
    </row>
    <row r="6" customFormat="false" ht="15" hidden="false" customHeight="false" outlineLevel="0" collapsed="false">
      <c r="A6" s="2" t="s">
        <v>14</v>
      </c>
      <c r="B6" s="2" t="s">
        <v>60</v>
      </c>
      <c r="C6" s="2" t="s">
        <v>61</v>
      </c>
      <c r="D6" s="7" t="s">
        <v>62</v>
      </c>
      <c r="E6" s="2" t="s">
        <v>2</v>
      </c>
      <c r="F6" s="2" t="s">
        <v>47</v>
      </c>
      <c r="G6" s="2" t="s">
        <v>59</v>
      </c>
      <c r="H6" s="2"/>
    </row>
    <row r="7" customFormat="false" ht="15" hidden="false" customHeight="false" outlineLevel="0" collapsed="false">
      <c r="A7" s="2" t="s">
        <v>14</v>
      </c>
      <c r="B7" s="2" t="s">
        <v>63</v>
      </c>
      <c r="C7" s="2" t="s">
        <v>64</v>
      </c>
      <c r="D7" s="7" t="s">
        <v>65</v>
      </c>
      <c r="E7" s="2" t="s">
        <v>3</v>
      </c>
      <c r="F7" s="2" t="s">
        <v>66</v>
      </c>
      <c r="G7" s="2" t="s">
        <v>67</v>
      </c>
      <c r="H7" s="2" t="s">
        <v>68</v>
      </c>
    </row>
    <row r="8" customFormat="false" ht="15" hidden="false" customHeight="false" outlineLevel="0" collapsed="false">
      <c r="A8" s="2" t="s">
        <v>15</v>
      </c>
      <c r="B8" s="2" t="s">
        <v>69</v>
      </c>
      <c r="C8" s="2" t="s">
        <v>70</v>
      </c>
      <c r="D8" s="7" t="s">
        <v>71</v>
      </c>
      <c r="E8" s="2" t="s">
        <v>2</v>
      </c>
      <c r="F8" s="2" t="s">
        <v>47</v>
      </c>
      <c r="G8" s="2" t="s">
        <v>15</v>
      </c>
      <c r="H8" s="2"/>
    </row>
    <row r="9" customFormat="false" ht="15" hidden="false" customHeight="false" outlineLevel="0" collapsed="false">
      <c r="A9" s="2" t="s">
        <v>15</v>
      </c>
      <c r="B9" s="2" t="s">
        <v>72</v>
      </c>
      <c r="C9" s="2" t="s">
        <v>73</v>
      </c>
      <c r="D9" s="7" t="s">
        <v>74</v>
      </c>
      <c r="E9" s="2" t="s">
        <v>2</v>
      </c>
      <c r="F9" s="2" t="s">
        <v>47</v>
      </c>
      <c r="G9" s="2" t="s">
        <v>15</v>
      </c>
      <c r="H9" s="2"/>
    </row>
    <row r="10" customFormat="false" ht="15" hidden="false" customHeight="false" outlineLevel="0" collapsed="false">
      <c r="A10" s="2" t="s">
        <v>16</v>
      </c>
      <c r="B10" s="2" t="s">
        <v>75</v>
      </c>
      <c r="C10" s="2" t="s">
        <v>76</v>
      </c>
      <c r="D10" s="7" t="s">
        <v>77</v>
      </c>
      <c r="E10" s="2" t="s">
        <v>2</v>
      </c>
      <c r="F10" s="2" t="s">
        <v>47</v>
      </c>
      <c r="G10" s="2" t="s">
        <v>78</v>
      </c>
      <c r="H10" s="2" t="s">
        <v>79</v>
      </c>
    </row>
    <row r="11" customFormat="false" ht="15" hidden="false" customHeight="false" outlineLevel="0" collapsed="false">
      <c r="A11" s="2" t="s">
        <v>16</v>
      </c>
      <c r="B11" s="2" t="s">
        <v>80</v>
      </c>
      <c r="C11" s="2" t="s">
        <v>81</v>
      </c>
      <c r="D11" s="7" t="s">
        <v>82</v>
      </c>
      <c r="E11" s="2" t="s">
        <v>2</v>
      </c>
      <c r="F11" s="2" t="s">
        <v>47</v>
      </c>
      <c r="G11" s="2" t="s">
        <v>16</v>
      </c>
      <c r="H11" s="2"/>
    </row>
    <row r="12" customFormat="false" ht="15" hidden="false" customHeight="false" outlineLevel="0" collapsed="false">
      <c r="A12" s="2" t="s">
        <v>17</v>
      </c>
      <c r="B12" s="8" t="s">
        <v>83</v>
      </c>
      <c r="C12" s="2"/>
      <c r="D12" s="2"/>
      <c r="E12" s="2"/>
      <c r="F12" s="2"/>
      <c r="G12" s="2"/>
      <c r="H12" s="2" t="s">
        <v>84</v>
      </c>
    </row>
    <row r="13" customFormat="false" ht="15" hidden="false" customHeight="false" outlineLevel="0" collapsed="false">
      <c r="A13" s="2" t="s">
        <v>18</v>
      </c>
      <c r="B13" s="2" t="s">
        <v>85</v>
      </c>
      <c r="C13" s="2" t="s">
        <v>86</v>
      </c>
      <c r="D13" s="7" t="s">
        <v>87</v>
      </c>
      <c r="E13" s="2" t="s">
        <v>2</v>
      </c>
      <c r="F13" s="2" t="s">
        <v>47</v>
      </c>
      <c r="G13" s="2" t="s">
        <v>18</v>
      </c>
      <c r="H13" s="2"/>
    </row>
    <row r="14" customFormat="false" ht="15" hidden="false" customHeight="false" outlineLevel="0" collapsed="false">
      <c r="A14" s="2" t="s">
        <v>18</v>
      </c>
      <c r="B14" s="2" t="s">
        <v>88</v>
      </c>
      <c r="C14" s="2" t="s">
        <v>89</v>
      </c>
      <c r="D14" s="7" t="s">
        <v>90</v>
      </c>
      <c r="E14" s="2" t="s">
        <v>2</v>
      </c>
      <c r="F14" s="2" t="s">
        <v>47</v>
      </c>
      <c r="G14" s="2" t="s">
        <v>18</v>
      </c>
      <c r="H14" s="2"/>
    </row>
    <row r="15" customFormat="false" ht="15" hidden="false" customHeight="false" outlineLevel="0" collapsed="false">
      <c r="A15" s="2" t="s">
        <v>18</v>
      </c>
      <c r="B15" s="2" t="s">
        <v>91</v>
      </c>
      <c r="C15" s="2" t="s">
        <v>92</v>
      </c>
      <c r="D15" s="7" t="s">
        <v>93</v>
      </c>
      <c r="E15" s="2" t="s">
        <v>2</v>
      </c>
      <c r="F15" s="2" t="s">
        <v>66</v>
      </c>
      <c r="G15" s="2" t="s">
        <v>94</v>
      </c>
      <c r="H15" s="2" t="s">
        <v>95</v>
      </c>
    </row>
    <row r="16" customFormat="false" ht="15" hidden="false" customHeight="false" outlineLevel="0" collapsed="false">
      <c r="A16" s="2" t="s">
        <v>18</v>
      </c>
      <c r="B16" s="2" t="s">
        <v>96</v>
      </c>
      <c r="C16" s="2" t="s">
        <v>97</v>
      </c>
      <c r="D16" s="7" t="s">
        <v>98</v>
      </c>
      <c r="E16" s="2" t="s">
        <v>2</v>
      </c>
      <c r="F16" s="2" t="s">
        <v>66</v>
      </c>
      <c r="G16" s="2" t="s">
        <v>99</v>
      </c>
      <c r="H16" s="2" t="s">
        <v>100</v>
      </c>
    </row>
    <row r="17" customFormat="false" ht="15" hidden="false" customHeight="false" outlineLevel="0" collapsed="false">
      <c r="A17" s="2" t="s">
        <v>19</v>
      </c>
      <c r="B17" s="2" t="s">
        <v>101</v>
      </c>
      <c r="C17" s="2" t="s">
        <v>102</v>
      </c>
      <c r="D17" s="7" t="s">
        <v>103</v>
      </c>
      <c r="E17" s="2" t="s">
        <v>2</v>
      </c>
      <c r="F17" s="2" t="s">
        <v>47</v>
      </c>
      <c r="G17" s="2" t="s">
        <v>19</v>
      </c>
      <c r="H17" s="2"/>
    </row>
    <row r="18" customFormat="false" ht="15" hidden="false" customHeight="false" outlineLevel="0" collapsed="false">
      <c r="A18" s="2" t="s">
        <v>19</v>
      </c>
      <c r="B18" s="2" t="s">
        <v>104</v>
      </c>
      <c r="C18" s="2" t="s">
        <v>105</v>
      </c>
      <c r="D18" s="7" t="s">
        <v>106</v>
      </c>
      <c r="E18" s="2" t="s">
        <v>2</v>
      </c>
      <c r="F18" s="2" t="s">
        <v>47</v>
      </c>
      <c r="G18" s="2" t="s">
        <v>19</v>
      </c>
      <c r="H18" s="2"/>
    </row>
    <row r="19" customFormat="false" ht="15" hidden="false" customHeight="false" outlineLevel="0" collapsed="false">
      <c r="A19" s="2" t="s">
        <v>20</v>
      </c>
      <c r="B19" s="2" t="s">
        <v>107</v>
      </c>
      <c r="C19" s="2" t="s">
        <v>108</v>
      </c>
      <c r="D19" s="7" t="s">
        <v>109</v>
      </c>
      <c r="E19" s="2" t="s">
        <v>2</v>
      </c>
      <c r="F19" s="2" t="s">
        <v>47</v>
      </c>
      <c r="G19" s="2" t="s">
        <v>20</v>
      </c>
      <c r="H19" s="2"/>
    </row>
    <row r="20" customFormat="false" ht="15" hidden="false" customHeight="false" outlineLevel="0" collapsed="false">
      <c r="A20" s="2" t="s">
        <v>21</v>
      </c>
      <c r="B20" s="2" t="s">
        <v>110</v>
      </c>
      <c r="C20" s="2" t="s">
        <v>111</v>
      </c>
      <c r="D20" s="7" t="s">
        <v>112</v>
      </c>
      <c r="E20" s="2" t="s">
        <v>2</v>
      </c>
      <c r="F20" s="2" t="s">
        <v>66</v>
      </c>
      <c r="G20" s="2" t="s">
        <v>113</v>
      </c>
      <c r="H20" s="2" t="s">
        <v>114</v>
      </c>
    </row>
    <row r="21" customFormat="false" ht="15" hidden="false" customHeight="false" outlineLevel="0" collapsed="false">
      <c r="A21" s="2" t="s">
        <v>22</v>
      </c>
      <c r="B21" s="2" t="s">
        <v>115</v>
      </c>
      <c r="C21" s="2" t="s">
        <v>116</v>
      </c>
      <c r="D21" s="7" t="s">
        <v>117</v>
      </c>
      <c r="E21" s="2" t="s">
        <v>2</v>
      </c>
      <c r="F21" s="2" t="s">
        <v>47</v>
      </c>
      <c r="G21" s="2" t="s">
        <v>22</v>
      </c>
      <c r="H21" s="2"/>
    </row>
    <row r="22" customFormat="false" ht="15" hidden="false" customHeight="false" outlineLevel="0" collapsed="false">
      <c r="A22" s="2" t="s">
        <v>23</v>
      </c>
      <c r="B22" s="2" t="s">
        <v>118</v>
      </c>
      <c r="C22" s="2" t="s">
        <v>119</v>
      </c>
      <c r="D22" s="7" t="s">
        <v>120</v>
      </c>
      <c r="E22" s="2" t="s">
        <v>2</v>
      </c>
      <c r="F22" s="2" t="s">
        <v>47</v>
      </c>
      <c r="G22" s="2" t="s">
        <v>23</v>
      </c>
      <c r="H22" s="2"/>
    </row>
    <row r="23" customFormat="false" ht="15" hidden="false" customHeight="false" outlineLevel="0" collapsed="false">
      <c r="A23" s="2" t="s">
        <v>23</v>
      </c>
      <c r="B23" s="2" t="s">
        <v>121</v>
      </c>
      <c r="C23" s="2" t="s">
        <v>122</v>
      </c>
      <c r="D23" s="7" t="s">
        <v>123</v>
      </c>
      <c r="E23" s="2" t="s">
        <v>2</v>
      </c>
      <c r="F23" s="2" t="s">
        <v>47</v>
      </c>
      <c r="G23" s="2" t="s">
        <v>124</v>
      </c>
      <c r="H23" s="2"/>
    </row>
    <row r="24" customFormat="false" ht="15" hidden="false" customHeight="false" outlineLevel="0" collapsed="false">
      <c r="A24" s="2" t="s">
        <v>24</v>
      </c>
      <c r="B24" s="2" t="s">
        <v>125</v>
      </c>
      <c r="C24" s="2" t="s">
        <v>126</v>
      </c>
      <c r="D24" s="7" t="s">
        <v>127</v>
      </c>
      <c r="E24" s="2" t="s">
        <v>2</v>
      </c>
      <c r="F24" s="2" t="s">
        <v>47</v>
      </c>
      <c r="G24" s="2" t="s">
        <v>24</v>
      </c>
      <c r="H24" s="2"/>
    </row>
    <row r="25" customFormat="false" ht="15" hidden="false" customHeight="false" outlineLevel="0" collapsed="false">
      <c r="A25" s="2" t="s">
        <v>24</v>
      </c>
      <c r="B25" s="2" t="s">
        <v>128</v>
      </c>
      <c r="C25" s="2" t="s">
        <v>129</v>
      </c>
      <c r="D25" s="7" t="s">
        <v>130</v>
      </c>
      <c r="E25" s="2" t="s">
        <v>2</v>
      </c>
      <c r="F25" s="2" t="s">
        <v>47</v>
      </c>
      <c r="G25" s="2" t="s">
        <v>24</v>
      </c>
      <c r="H25" s="2"/>
    </row>
    <row r="26" customFormat="false" ht="15" hidden="false" customHeight="false" outlineLevel="0" collapsed="false">
      <c r="A26" s="2" t="s">
        <v>25</v>
      </c>
      <c r="B26" s="2" t="s">
        <v>131</v>
      </c>
      <c r="C26" s="2" t="s">
        <v>132</v>
      </c>
      <c r="D26" s="7" t="s">
        <v>133</v>
      </c>
      <c r="E26" s="2" t="s">
        <v>2</v>
      </c>
      <c r="F26" s="2" t="s">
        <v>47</v>
      </c>
      <c r="G26" s="2" t="s">
        <v>25</v>
      </c>
      <c r="H26" s="2"/>
    </row>
    <row r="27" customFormat="false" ht="15" hidden="false" customHeight="false" outlineLevel="0" collapsed="false">
      <c r="A27" s="2" t="s">
        <v>25</v>
      </c>
      <c r="B27" s="2" t="s">
        <v>134</v>
      </c>
      <c r="C27" s="2" t="s">
        <v>135</v>
      </c>
      <c r="D27" s="7" t="s">
        <v>136</v>
      </c>
      <c r="E27" s="2" t="s">
        <v>2</v>
      </c>
      <c r="F27" s="2" t="s">
        <v>47</v>
      </c>
      <c r="G27" s="2" t="s">
        <v>25</v>
      </c>
      <c r="H27" s="2"/>
    </row>
    <row r="28" customFormat="false" ht="15" hidden="false" customHeight="false" outlineLevel="0" collapsed="false">
      <c r="A28" s="2" t="s">
        <v>25</v>
      </c>
      <c r="B28" s="2" t="s">
        <v>137</v>
      </c>
      <c r="C28" s="2" t="s">
        <v>138</v>
      </c>
      <c r="D28" s="7" t="s">
        <v>139</v>
      </c>
      <c r="E28" s="2" t="s">
        <v>2</v>
      </c>
      <c r="F28" s="2" t="s">
        <v>47</v>
      </c>
      <c r="G28" s="2" t="s">
        <v>25</v>
      </c>
      <c r="H28" s="2"/>
    </row>
    <row r="29" customFormat="false" ht="15" hidden="false" customHeight="false" outlineLevel="0" collapsed="false">
      <c r="A29" s="2" t="s">
        <v>26</v>
      </c>
      <c r="B29" s="8" t="s">
        <v>83</v>
      </c>
      <c r="C29" s="2"/>
      <c r="D29" s="2"/>
      <c r="E29" s="2"/>
      <c r="F29" s="2"/>
      <c r="G29" s="2"/>
      <c r="H29" s="2" t="s">
        <v>84</v>
      </c>
    </row>
    <row r="30" customFormat="false" ht="15" hidden="false" customHeight="false" outlineLevel="0" collapsed="false">
      <c r="A30" s="2" t="s">
        <v>27</v>
      </c>
      <c r="B30" s="2" t="s">
        <v>140</v>
      </c>
      <c r="C30" s="2" t="s">
        <v>141</v>
      </c>
      <c r="D30" s="7" t="s">
        <v>142</v>
      </c>
      <c r="E30" s="2" t="s">
        <v>2</v>
      </c>
      <c r="F30" s="2" t="s">
        <v>47</v>
      </c>
      <c r="G30" s="2" t="s">
        <v>27</v>
      </c>
      <c r="H30" s="2"/>
    </row>
    <row r="31" customFormat="false" ht="15" hidden="false" customHeight="false" outlineLevel="0" collapsed="false">
      <c r="A31" s="2" t="s">
        <v>27</v>
      </c>
      <c r="B31" s="2" t="s">
        <v>143</v>
      </c>
      <c r="C31" s="2" t="s">
        <v>144</v>
      </c>
      <c r="D31" s="7" t="s">
        <v>145</v>
      </c>
      <c r="E31" s="2" t="s">
        <v>2</v>
      </c>
      <c r="F31" s="2" t="s">
        <v>66</v>
      </c>
      <c r="G31" s="2" t="s">
        <v>146</v>
      </c>
      <c r="H31" s="2" t="s">
        <v>147</v>
      </c>
    </row>
  </sheetData>
  <autoFilter ref="A1:H31"/>
  <hyperlinks>
    <hyperlink ref="D2" r:id="rId1" display="https://www.linkedin.com/in/sample-marcus-bell"/>
    <hyperlink ref="D3" r:id="rId2" display="https://www.linkedin.com/in/sample-priya-natarajan"/>
    <hyperlink ref="D4" r:id="rId3" display="https://www.linkedin.com/in/sample-daniel-okafor"/>
    <hyperlink ref="D5" r:id="rId4" display="https://www.linkedin.com/in/sample-elena-ruiz"/>
    <hyperlink ref="D6" r:id="rId5" display="https://www.linkedin.com/in/sample-grace-lindqvist"/>
    <hyperlink ref="D7" r:id="rId6" display="https://www.linkedin.com/in/sample-robert-haines"/>
    <hyperlink ref="D8" r:id="rId7" display="https://www.linkedin.com/in/sample-kevin-tran"/>
    <hyperlink ref="D9" r:id="rId8" display="https://www.linkedin.com/in/sample-sofia-marchetti"/>
    <hyperlink ref="D10" r:id="rId9" display="https://www.linkedin.com/in/sample-hannah-weiss"/>
    <hyperlink ref="D11" r:id="rId10" display="https://www.linkedin.com/in/sample-omar-haddad"/>
    <hyperlink ref="D13" r:id="rId11" display="https://www.linkedin.com/in/sample-james-whitaker"/>
    <hyperlink ref="D14" r:id="rId12" display="https://www.linkedin.com/in/sample-laura-chen"/>
    <hyperlink ref="D15" r:id="rId13" display="https://www.linkedin.com/in/sample-chris-delgado"/>
    <hyperlink ref="D16" r:id="rId14" display="https://www.linkedin.com/in/sample-nadia-petrova"/>
    <hyperlink ref="D17" r:id="rId15" display="https://www.linkedin.com/in/sample-aisha-bello"/>
    <hyperlink ref="D18" r:id="rId16" display="https://www.linkedin.com/in/sample-tom-fischer"/>
    <hyperlink ref="D19" r:id="rId17" display="https://www.linkedin.com/in/sample-yuki-tanaka"/>
    <hyperlink ref="D20" r:id="rId18" display="https://www.linkedin.com/in/sample-brian-kowalski"/>
    <hyperlink ref="D21" r:id="rId19" display="https://www.linkedin.com/in/sample-megan-foster"/>
    <hyperlink ref="D22" r:id="rId20" display="https://www.linkedin.com/in/sample-arjun-mehta"/>
    <hyperlink ref="D23" r:id="rId21" display="https://www.linkedin.com/in/sample-carla-santos"/>
    <hyperlink ref="D24" r:id="rId22" display="https://www.linkedin.com/in/sample-diane-morris"/>
    <hyperlink ref="D25" r:id="rId23" display="https://www.linkedin.com/in/sample-peter-novak"/>
    <hyperlink ref="D26" r:id="rId24" display="https://www.linkedin.com/in/sample-rachel-ito"/>
    <hyperlink ref="D27" r:id="rId25" display="https://www.linkedin.com/in/sample-samuel-greene"/>
    <hyperlink ref="D28" r:id="rId26" display="https://www.linkedin.com/in/sample-victor-lang"/>
    <hyperlink ref="D30" r:id="rId27" display="https://www.linkedin.com/in/sample-isabel-duarte"/>
    <hyperlink ref="D31" r:id="rId28" display="https://www.linkedin.com/in/sample-felix-brand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28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7" min="7" style="0" width="36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2" min="11" style="0" width="13"/>
    <col collapsed="false" customWidth="true" hidden="false" outlineLevel="0" max="13" min="13" style="0" width="18"/>
    <col collapsed="false" customWidth="true" hidden="false" outlineLevel="0" max="14" min="14" style="0" width="30"/>
    <col collapsed="false" customWidth="true" hidden="false" outlineLevel="0" max="15" min="15" style="0" width="60"/>
    <col collapsed="false" customWidth="true" hidden="false" outlineLevel="0" max="16" min="16" style="0" width="30"/>
  </cols>
  <sheetData>
    <row r="1" customFormat="false" ht="39.55" hidden="false" customHeight="false" outlineLevel="0" collapsed="false">
      <c r="A1" s="1" t="s">
        <v>0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12</v>
      </c>
      <c r="M1" s="1" t="s">
        <v>158</v>
      </c>
      <c r="N1" s="1" t="s">
        <v>159</v>
      </c>
      <c r="O1" s="1" t="s">
        <v>160</v>
      </c>
      <c r="P1" s="1" t="s">
        <v>43</v>
      </c>
    </row>
    <row r="2" customFormat="false" ht="15" hidden="false" customHeight="false" outlineLevel="0" collapsed="false">
      <c r="A2" s="2" t="s">
        <v>13</v>
      </c>
      <c r="B2" s="2" t="s">
        <v>49</v>
      </c>
      <c r="C2" s="2" t="s">
        <v>50</v>
      </c>
      <c r="D2" s="2" t="s">
        <v>48</v>
      </c>
      <c r="E2" s="3" t="n">
        <v>45336</v>
      </c>
      <c r="F2" s="2"/>
      <c r="G2" s="7" t="s">
        <v>51</v>
      </c>
      <c r="H2" s="2" t="n">
        <v>1</v>
      </c>
      <c r="I2" s="2" t="n">
        <v>2</v>
      </c>
      <c r="J2" s="2" t="n">
        <v>2</v>
      </c>
      <c r="K2" s="3" t="n">
        <v>46055</v>
      </c>
      <c r="L2" s="3" t="n">
        <v>46057</v>
      </c>
      <c r="M2" s="2" t="s">
        <v>49</v>
      </c>
      <c r="N2" s="9" t="s">
        <v>161</v>
      </c>
      <c r="O2" s="10" t="s">
        <v>162</v>
      </c>
      <c r="P2" s="2"/>
    </row>
    <row r="3" customFormat="false" ht="23.85" hidden="false" customHeight="false" outlineLevel="0" collapsed="false">
      <c r="A3" s="2" t="s">
        <v>13</v>
      </c>
      <c r="B3" s="2" t="s">
        <v>44</v>
      </c>
      <c r="C3" s="2" t="s">
        <v>45</v>
      </c>
      <c r="D3" s="2" t="s">
        <v>48</v>
      </c>
      <c r="E3" s="3" t="n">
        <v>45079</v>
      </c>
      <c r="F3" s="2"/>
      <c r="G3" s="7" t="s">
        <v>46</v>
      </c>
      <c r="H3" s="2" t="n">
        <v>1</v>
      </c>
      <c r="I3" s="2" t="n">
        <v>1</v>
      </c>
      <c r="J3" s="2" t="n">
        <v>0</v>
      </c>
      <c r="K3" s="3" t="n">
        <v>45979</v>
      </c>
      <c r="L3" s="3" t="n">
        <v>45979</v>
      </c>
      <c r="M3" s="2" t="s">
        <v>163</v>
      </c>
      <c r="N3" s="11" t="s">
        <v>164</v>
      </c>
      <c r="O3" s="10" t="s">
        <v>165</v>
      </c>
      <c r="P3" s="2"/>
    </row>
    <row r="4" customFormat="false" ht="23.85" hidden="false" customHeight="false" outlineLevel="0" collapsed="false">
      <c r="A4" s="2" t="s">
        <v>14</v>
      </c>
      <c r="B4" s="2" t="s">
        <v>60</v>
      </c>
      <c r="C4" s="2" t="s">
        <v>61</v>
      </c>
      <c r="D4" s="2" t="s">
        <v>59</v>
      </c>
      <c r="E4" s="3" t="n">
        <v>45665</v>
      </c>
      <c r="F4" s="2"/>
      <c r="G4" s="7" t="s">
        <v>62</v>
      </c>
      <c r="H4" s="2" t="n">
        <v>1</v>
      </c>
      <c r="I4" s="2" t="n">
        <v>0</v>
      </c>
      <c r="J4" s="2" t="n">
        <v>1</v>
      </c>
      <c r="K4" s="3" t="n">
        <v>46083</v>
      </c>
      <c r="L4" s="3" t="n">
        <v>46083</v>
      </c>
      <c r="M4" s="2" t="s">
        <v>60</v>
      </c>
      <c r="N4" s="9" t="s">
        <v>166</v>
      </c>
      <c r="O4" s="10" t="s">
        <v>167</v>
      </c>
      <c r="P4" s="2"/>
    </row>
    <row r="5" customFormat="false" ht="15" hidden="false" customHeight="false" outlineLevel="0" collapsed="false">
      <c r="A5" s="2" t="s">
        <v>14</v>
      </c>
      <c r="B5" s="2" t="s">
        <v>56</v>
      </c>
      <c r="C5" s="2" t="s">
        <v>57</v>
      </c>
      <c r="D5" s="2" t="s">
        <v>59</v>
      </c>
      <c r="E5" s="3" t="n">
        <v>43727</v>
      </c>
      <c r="F5" s="2"/>
      <c r="G5" s="7" t="s">
        <v>58</v>
      </c>
      <c r="H5" s="2" t="n">
        <v>1</v>
      </c>
      <c r="I5" s="2" t="n">
        <v>1</v>
      </c>
      <c r="J5" s="2" t="n">
        <v>2</v>
      </c>
      <c r="K5" s="3" t="n">
        <v>46001</v>
      </c>
      <c r="L5" s="3" t="n">
        <v>46028</v>
      </c>
      <c r="M5" s="2" t="s">
        <v>56</v>
      </c>
      <c r="N5" s="9" t="s">
        <v>161</v>
      </c>
      <c r="O5" s="10" t="s">
        <v>168</v>
      </c>
      <c r="P5" s="2"/>
    </row>
    <row r="6" customFormat="false" ht="15" hidden="false" customHeight="false" outlineLevel="0" collapsed="false">
      <c r="A6" s="2" t="s">
        <v>14</v>
      </c>
      <c r="B6" s="2" t="s">
        <v>52</v>
      </c>
      <c r="C6" s="2" t="s">
        <v>53</v>
      </c>
      <c r="D6" s="2" t="s">
        <v>55</v>
      </c>
      <c r="E6" s="3" t="n">
        <v>43901</v>
      </c>
      <c r="F6" s="2"/>
      <c r="G6" s="7" t="s">
        <v>54</v>
      </c>
      <c r="H6" s="2" t="n">
        <v>1</v>
      </c>
      <c r="I6" s="2" t="n">
        <v>1</v>
      </c>
      <c r="J6" s="2" t="n">
        <v>1</v>
      </c>
      <c r="K6" s="3" t="n">
        <v>45455</v>
      </c>
      <c r="L6" s="3" t="n">
        <v>45456</v>
      </c>
      <c r="M6" s="2" t="s">
        <v>52</v>
      </c>
      <c r="N6" s="9" t="s">
        <v>161</v>
      </c>
      <c r="O6" s="10" t="s">
        <v>169</v>
      </c>
      <c r="P6" s="2"/>
    </row>
    <row r="7" customFormat="false" ht="15" hidden="false" customHeight="false" outlineLevel="0" collapsed="false">
      <c r="A7" s="2" t="s">
        <v>14</v>
      </c>
      <c r="B7" s="2" t="s">
        <v>63</v>
      </c>
      <c r="C7" s="2" t="s">
        <v>64</v>
      </c>
      <c r="D7" s="2" t="s">
        <v>67</v>
      </c>
      <c r="E7" s="3" t="n">
        <v>42939</v>
      </c>
      <c r="F7" s="2"/>
      <c r="G7" s="7" t="s">
        <v>65</v>
      </c>
      <c r="H7" s="2" t="n">
        <v>0</v>
      </c>
      <c r="I7" s="2" t="n">
        <v>0</v>
      </c>
      <c r="J7" s="2" t="n">
        <v>0</v>
      </c>
      <c r="K7" s="3"/>
      <c r="L7" s="3"/>
      <c r="M7" s="2"/>
      <c r="N7" s="2" t="s">
        <v>170</v>
      </c>
      <c r="O7" s="10"/>
      <c r="P7" s="2" t="s">
        <v>68</v>
      </c>
    </row>
    <row r="8" customFormat="false" ht="23.85" hidden="false" customHeight="false" outlineLevel="0" collapsed="false">
      <c r="A8" s="2" t="s">
        <v>15</v>
      </c>
      <c r="B8" s="2" t="s">
        <v>72</v>
      </c>
      <c r="C8" s="2" t="s">
        <v>73</v>
      </c>
      <c r="D8" s="2" t="s">
        <v>15</v>
      </c>
      <c r="E8" s="3" t="n">
        <v>44499</v>
      </c>
      <c r="F8" s="2"/>
      <c r="G8" s="7" t="s">
        <v>74</v>
      </c>
      <c r="H8" s="2" t="n">
        <v>1</v>
      </c>
      <c r="I8" s="2" t="n">
        <v>1</v>
      </c>
      <c r="J8" s="2" t="n">
        <v>0</v>
      </c>
      <c r="K8" s="3" t="n">
        <v>46042</v>
      </c>
      <c r="L8" s="3" t="n">
        <v>46042</v>
      </c>
      <c r="M8" s="2" t="s">
        <v>163</v>
      </c>
      <c r="N8" s="11" t="s">
        <v>164</v>
      </c>
      <c r="O8" s="10" t="s">
        <v>171</v>
      </c>
      <c r="P8" s="2"/>
    </row>
    <row r="9" customFormat="false" ht="15" hidden="false" customHeight="false" outlineLevel="0" collapsed="false">
      <c r="A9" s="2" t="s">
        <v>15</v>
      </c>
      <c r="B9" s="2" t="s">
        <v>69</v>
      </c>
      <c r="C9" s="2" t="s">
        <v>70</v>
      </c>
      <c r="D9" s="2" t="s">
        <v>15</v>
      </c>
      <c r="E9" s="3" t="n">
        <v>45399</v>
      </c>
      <c r="F9" s="2"/>
      <c r="G9" s="7" t="s">
        <v>71</v>
      </c>
      <c r="H9" s="2" t="n">
        <v>0</v>
      </c>
      <c r="I9" s="2" t="n">
        <v>0</v>
      </c>
      <c r="J9" s="2" t="n">
        <v>0</v>
      </c>
      <c r="K9" s="3"/>
      <c r="L9" s="3"/>
      <c r="M9" s="2"/>
      <c r="N9" s="2" t="s">
        <v>170</v>
      </c>
      <c r="O9" s="10"/>
      <c r="P9" s="2"/>
    </row>
    <row r="10" customFormat="false" ht="15" hidden="false" customHeight="false" outlineLevel="0" collapsed="false">
      <c r="A10" s="2" t="s">
        <v>16</v>
      </c>
      <c r="B10" s="2" t="s">
        <v>75</v>
      </c>
      <c r="C10" s="2" t="s">
        <v>76</v>
      </c>
      <c r="D10" s="2" t="s">
        <v>78</v>
      </c>
      <c r="E10" s="3" t="n">
        <v>44686</v>
      </c>
      <c r="F10" s="2"/>
      <c r="G10" s="7" t="s">
        <v>77</v>
      </c>
      <c r="H10" s="2" t="n">
        <v>1</v>
      </c>
      <c r="I10" s="2" t="n">
        <v>1</v>
      </c>
      <c r="J10" s="2" t="n">
        <v>1</v>
      </c>
      <c r="K10" s="3" t="n">
        <v>45908</v>
      </c>
      <c r="L10" s="3" t="n">
        <v>45910</v>
      </c>
      <c r="M10" s="2" t="s">
        <v>75</v>
      </c>
      <c r="N10" s="9" t="s">
        <v>161</v>
      </c>
      <c r="O10" s="10" t="s">
        <v>172</v>
      </c>
      <c r="P10" s="2" t="s">
        <v>79</v>
      </c>
    </row>
    <row r="11" customFormat="false" ht="15" hidden="false" customHeight="false" outlineLevel="0" collapsed="false">
      <c r="A11" s="2" t="s">
        <v>16</v>
      </c>
      <c r="B11" s="2" t="s">
        <v>80</v>
      </c>
      <c r="C11" s="2" t="s">
        <v>81</v>
      </c>
      <c r="D11" s="2" t="s">
        <v>16</v>
      </c>
      <c r="E11" s="3" t="n">
        <v>45159</v>
      </c>
      <c r="F11" s="2"/>
      <c r="G11" s="7" t="s">
        <v>82</v>
      </c>
      <c r="H11" s="2" t="n">
        <v>0</v>
      </c>
      <c r="I11" s="2" t="n">
        <v>0</v>
      </c>
      <c r="J11" s="2" t="n">
        <v>0</v>
      </c>
      <c r="K11" s="3"/>
      <c r="L11" s="3"/>
      <c r="M11" s="2"/>
      <c r="N11" s="2" t="s">
        <v>170</v>
      </c>
      <c r="O11" s="10"/>
      <c r="P11" s="2"/>
    </row>
    <row r="12" customFormat="false" ht="15" hidden="false" customHeight="false" outlineLevel="0" collapsed="false">
      <c r="A12" s="2" t="s">
        <v>18</v>
      </c>
      <c r="B12" s="2" t="s">
        <v>85</v>
      </c>
      <c r="C12" s="2" t="s">
        <v>86</v>
      </c>
      <c r="D12" s="2" t="s">
        <v>18</v>
      </c>
      <c r="E12" s="3" t="n">
        <v>44258</v>
      </c>
      <c r="F12" s="2"/>
      <c r="G12" s="7" t="s">
        <v>87</v>
      </c>
      <c r="H12" s="2" t="n">
        <v>1</v>
      </c>
      <c r="I12" s="2" t="n">
        <v>1</v>
      </c>
      <c r="J12" s="2" t="n">
        <v>2</v>
      </c>
      <c r="K12" s="3" t="n">
        <v>45931</v>
      </c>
      <c r="L12" s="3" t="n">
        <v>45933</v>
      </c>
      <c r="M12" s="2" t="s">
        <v>85</v>
      </c>
      <c r="N12" s="9" t="s">
        <v>161</v>
      </c>
      <c r="O12" s="10" t="s">
        <v>173</v>
      </c>
      <c r="P12" s="2"/>
    </row>
    <row r="13" customFormat="false" ht="15" hidden="false" customHeight="false" outlineLevel="0" collapsed="false">
      <c r="A13" s="2" t="s">
        <v>18</v>
      </c>
      <c r="B13" s="2" t="s">
        <v>88</v>
      </c>
      <c r="C13" s="2" t="s">
        <v>89</v>
      </c>
      <c r="D13" s="2" t="s">
        <v>18</v>
      </c>
      <c r="E13" s="3" t="n">
        <v>44177</v>
      </c>
      <c r="F13" s="2"/>
      <c r="G13" s="7" t="s">
        <v>90</v>
      </c>
      <c r="H13" s="2" t="n">
        <v>1</v>
      </c>
      <c r="I13" s="2" t="n">
        <v>1</v>
      </c>
      <c r="J13" s="2" t="n">
        <v>2</v>
      </c>
      <c r="K13" s="3" t="n">
        <v>45931</v>
      </c>
      <c r="L13" s="3" t="n">
        <v>45933</v>
      </c>
      <c r="M13" s="2" t="s">
        <v>85</v>
      </c>
      <c r="N13" s="9" t="s">
        <v>161</v>
      </c>
      <c r="O13" s="10" t="s">
        <v>173</v>
      </c>
      <c r="P13" s="2"/>
    </row>
    <row r="14" customFormat="false" ht="23.85" hidden="false" customHeight="false" outlineLevel="0" collapsed="false">
      <c r="A14" s="2" t="s">
        <v>18</v>
      </c>
      <c r="B14" s="2" t="s">
        <v>91</v>
      </c>
      <c r="C14" s="2" t="s">
        <v>92</v>
      </c>
      <c r="D14" s="2" t="s">
        <v>94</v>
      </c>
      <c r="E14" s="3" t="n">
        <v>44813</v>
      </c>
      <c r="F14" s="2"/>
      <c r="G14" s="7" t="s">
        <v>93</v>
      </c>
      <c r="H14" s="2" t="n">
        <v>1</v>
      </c>
      <c r="I14" s="2" t="n">
        <v>0</v>
      </c>
      <c r="J14" s="2" t="n">
        <v>1</v>
      </c>
      <c r="K14" s="3" t="n">
        <v>45020</v>
      </c>
      <c r="L14" s="3" t="n">
        <v>45020</v>
      </c>
      <c r="M14" s="2" t="s">
        <v>91</v>
      </c>
      <c r="N14" s="9" t="s">
        <v>166</v>
      </c>
      <c r="O14" s="10" t="s">
        <v>174</v>
      </c>
      <c r="P14" s="2" t="s">
        <v>95</v>
      </c>
    </row>
    <row r="15" customFormat="false" ht="15" hidden="false" customHeight="false" outlineLevel="0" collapsed="false">
      <c r="A15" s="2" t="s">
        <v>18</v>
      </c>
      <c r="B15" s="2" t="s">
        <v>96</v>
      </c>
      <c r="C15" s="2" t="s">
        <v>97</v>
      </c>
      <c r="D15" s="2" t="s">
        <v>99</v>
      </c>
      <c r="E15" s="3" t="n">
        <v>44587</v>
      </c>
      <c r="F15" s="2"/>
      <c r="G15" s="7" t="s">
        <v>98</v>
      </c>
      <c r="H15" s="2" t="n">
        <v>0</v>
      </c>
      <c r="I15" s="2" t="n">
        <v>0</v>
      </c>
      <c r="J15" s="2" t="n">
        <v>0</v>
      </c>
      <c r="K15" s="3"/>
      <c r="L15" s="3"/>
      <c r="M15" s="2"/>
      <c r="N15" s="2" t="s">
        <v>170</v>
      </c>
      <c r="O15" s="10"/>
      <c r="P15" s="2" t="s">
        <v>100</v>
      </c>
    </row>
    <row r="16" customFormat="false" ht="15" hidden="false" customHeight="false" outlineLevel="0" collapsed="false">
      <c r="A16" s="2" t="s">
        <v>19</v>
      </c>
      <c r="B16" s="2" t="s">
        <v>101</v>
      </c>
      <c r="C16" s="2" t="s">
        <v>102</v>
      </c>
      <c r="D16" s="2" t="s">
        <v>19</v>
      </c>
      <c r="E16" s="3" t="n">
        <v>45245</v>
      </c>
      <c r="F16" s="2"/>
      <c r="G16" s="7" t="s">
        <v>103</v>
      </c>
      <c r="H16" s="2" t="n">
        <v>1</v>
      </c>
      <c r="I16" s="2" t="n">
        <v>1</v>
      </c>
      <c r="J16" s="2" t="n">
        <v>1</v>
      </c>
      <c r="K16" s="3" t="n">
        <v>45791</v>
      </c>
      <c r="L16" s="3" t="n">
        <v>45792</v>
      </c>
      <c r="M16" s="2" t="s">
        <v>101</v>
      </c>
      <c r="N16" s="9" t="s">
        <v>161</v>
      </c>
      <c r="O16" s="10" t="s">
        <v>175</v>
      </c>
      <c r="P16" s="2"/>
    </row>
    <row r="17" customFormat="false" ht="15" hidden="false" customHeight="false" outlineLevel="0" collapsed="false">
      <c r="A17" s="2" t="s">
        <v>19</v>
      </c>
      <c r="B17" s="2" t="s">
        <v>104</v>
      </c>
      <c r="C17" s="2" t="s">
        <v>105</v>
      </c>
      <c r="D17" s="2" t="s">
        <v>19</v>
      </c>
      <c r="E17" s="3" t="n">
        <v>45716</v>
      </c>
      <c r="F17" s="2"/>
      <c r="G17" s="7" t="s">
        <v>106</v>
      </c>
      <c r="H17" s="2" t="n">
        <v>0</v>
      </c>
      <c r="I17" s="2" t="n">
        <v>0</v>
      </c>
      <c r="J17" s="2" t="n">
        <v>0</v>
      </c>
      <c r="K17" s="3"/>
      <c r="L17" s="3"/>
      <c r="M17" s="2"/>
      <c r="N17" s="2" t="s">
        <v>170</v>
      </c>
      <c r="O17" s="10"/>
      <c r="P17" s="2"/>
    </row>
    <row r="18" customFormat="false" ht="15" hidden="false" customHeight="false" outlineLevel="0" collapsed="false">
      <c r="A18" s="2" t="s">
        <v>20</v>
      </c>
      <c r="B18" s="2" t="s">
        <v>107</v>
      </c>
      <c r="C18" s="2" t="s">
        <v>108</v>
      </c>
      <c r="D18" s="2" t="s">
        <v>20</v>
      </c>
      <c r="E18" s="3" t="n">
        <v>44655</v>
      </c>
      <c r="F18" s="2"/>
      <c r="G18" s="7" t="s">
        <v>109</v>
      </c>
      <c r="H18" s="2" t="n">
        <v>0</v>
      </c>
      <c r="I18" s="2" t="n">
        <v>0</v>
      </c>
      <c r="J18" s="2" t="n">
        <v>0</v>
      </c>
      <c r="K18" s="3"/>
      <c r="L18" s="3"/>
      <c r="M18" s="2"/>
      <c r="N18" s="2" t="s">
        <v>170</v>
      </c>
      <c r="O18" s="10"/>
      <c r="P18" s="2"/>
    </row>
    <row r="19" customFormat="false" ht="15" hidden="false" customHeight="false" outlineLevel="0" collapsed="false">
      <c r="A19" s="2" t="s">
        <v>21</v>
      </c>
      <c r="B19" s="2" t="s">
        <v>110</v>
      </c>
      <c r="C19" s="2" t="s">
        <v>111</v>
      </c>
      <c r="D19" s="2" t="s">
        <v>113</v>
      </c>
      <c r="E19" s="3" t="n">
        <v>44363</v>
      </c>
      <c r="F19" s="2"/>
      <c r="G19" s="7" t="s">
        <v>112</v>
      </c>
      <c r="H19" s="2" t="n">
        <v>0</v>
      </c>
      <c r="I19" s="2" t="n">
        <v>0</v>
      </c>
      <c r="J19" s="2" t="n">
        <v>0</v>
      </c>
      <c r="K19" s="3"/>
      <c r="L19" s="3"/>
      <c r="M19" s="2"/>
      <c r="N19" s="2" t="s">
        <v>170</v>
      </c>
      <c r="O19" s="10"/>
      <c r="P19" s="2" t="s">
        <v>114</v>
      </c>
    </row>
    <row r="20" customFormat="false" ht="15" hidden="false" customHeight="false" outlineLevel="0" collapsed="false">
      <c r="A20" s="2" t="s">
        <v>22</v>
      </c>
      <c r="B20" s="2" t="s">
        <v>115</v>
      </c>
      <c r="C20" s="2" t="s">
        <v>116</v>
      </c>
      <c r="D20" s="2" t="s">
        <v>22</v>
      </c>
      <c r="E20" s="3" t="n">
        <v>44977</v>
      </c>
      <c r="F20" s="2"/>
      <c r="G20" s="7" t="s">
        <v>117</v>
      </c>
      <c r="H20" s="2" t="n">
        <v>1</v>
      </c>
      <c r="I20" s="2" t="n">
        <v>1</v>
      </c>
      <c r="J20" s="2" t="n">
        <v>1</v>
      </c>
      <c r="K20" s="3" t="n">
        <v>44867</v>
      </c>
      <c r="L20" s="3" t="n">
        <v>44867</v>
      </c>
      <c r="M20" s="2" t="s">
        <v>115</v>
      </c>
      <c r="N20" s="9" t="s">
        <v>161</v>
      </c>
      <c r="O20" s="10" t="s">
        <v>176</v>
      </c>
      <c r="P20" s="2"/>
    </row>
    <row r="21" customFormat="false" ht="23.85" hidden="false" customHeight="false" outlineLevel="0" collapsed="false">
      <c r="A21" s="2" t="s">
        <v>23</v>
      </c>
      <c r="B21" s="2" t="s">
        <v>118</v>
      </c>
      <c r="C21" s="2" t="s">
        <v>119</v>
      </c>
      <c r="D21" s="2" t="s">
        <v>23</v>
      </c>
      <c r="E21" s="3" t="n">
        <v>44111</v>
      </c>
      <c r="F21" s="2"/>
      <c r="G21" s="7" t="s">
        <v>120</v>
      </c>
      <c r="H21" s="2" t="n">
        <v>1</v>
      </c>
      <c r="I21" s="2" t="n">
        <v>1</v>
      </c>
      <c r="J21" s="2" t="n">
        <v>0</v>
      </c>
      <c r="K21" s="3" t="n">
        <v>46078</v>
      </c>
      <c r="L21" s="3" t="n">
        <v>46078</v>
      </c>
      <c r="M21" s="2" t="s">
        <v>163</v>
      </c>
      <c r="N21" s="11" t="s">
        <v>164</v>
      </c>
      <c r="O21" s="10" t="s">
        <v>177</v>
      </c>
      <c r="P21" s="2"/>
    </row>
    <row r="22" customFormat="false" ht="15" hidden="false" customHeight="false" outlineLevel="0" collapsed="false">
      <c r="A22" s="2" t="s">
        <v>23</v>
      </c>
      <c r="B22" s="2" t="s">
        <v>121</v>
      </c>
      <c r="C22" s="2" t="s">
        <v>122</v>
      </c>
      <c r="D22" s="2" t="s">
        <v>124</v>
      </c>
      <c r="E22" s="3" t="n">
        <v>45304</v>
      </c>
      <c r="F22" s="2"/>
      <c r="G22" s="7" t="s">
        <v>123</v>
      </c>
      <c r="H22" s="2" t="n">
        <v>0</v>
      </c>
      <c r="I22" s="2" t="n">
        <v>0</v>
      </c>
      <c r="J22" s="2" t="n">
        <v>0</v>
      </c>
      <c r="K22" s="3"/>
      <c r="L22" s="3"/>
      <c r="M22" s="2"/>
      <c r="N22" s="2" t="s">
        <v>170</v>
      </c>
      <c r="O22" s="10"/>
      <c r="P22" s="2"/>
    </row>
    <row r="23" customFormat="false" ht="15" hidden="false" customHeight="false" outlineLevel="0" collapsed="false">
      <c r="A23" s="2" t="s">
        <v>24</v>
      </c>
      <c r="B23" s="2" t="s">
        <v>128</v>
      </c>
      <c r="C23" s="2" t="s">
        <v>129</v>
      </c>
      <c r="D23" s="2" t="s">
        <v>24</v>
      </c>
      <c r="E23" s="3" t="n">
        <v>43706</v>
      </c>
      <c r="F23" s="2"/>
      <c r="G23" s="7" t="s">
        <v>130</v>
      </c>
      <c r="H23" s="2" t="n">
        <v>1</v>
      </c>
      <c r="I23" s="2" t="n">
        <v>1</v>
      </c>
      <c r="J23" s="2" t="n">
        <v>1</v>
      </c>
      <c r="K23" s="3" t="n">
        <v>45523</v>
      </c>
      <c r="L23" s="3" t="n">
        <v>45524</v>
      </c>
      <c r="M23" s="2" t="s">
        <v>163</v>
      </c>
      <c r="N23" s="11" t="s">
        <v>178</v>
      </c>
      <c r="O23" s="10" t="s">
        <v>179</v>
      </c>
      <c r="P23" s="2"/>
    </row>
    <row r="24" customFormat="false" ht="15" hidden="false" customHeight="false" outlineLevel="0" collapsed="false">
      <c r="A24" s="2" t="s">
        <v>24</v>
      </c>
      <c r="B24" s="2" t="s">
        <v>125</v>
      </c>
      <c r="C24" s="2" t="s">
        <v>126</v>
      </c>
      <c r="D24" s="2" t="s">
        <v>24</v>
      </c>
      <c r="E24" s="3" t="n">
        <v>45787</v>
      </c>
      <c r="F24" s="2"/>
      <c r="G24" s="7" t="s">
        <v>127</v>
      </c>
      <c r="H24" s="2" t="n">
        <v>0</v>
      </c>
      <c r="I24" s="2" t="n">
        <v>0</v>
      </c>
      <c r="J24" s="2" t="n">
        <v>0</v>
      </c>
      <c r="K24" s="3"/>
      <c r="L24" s="3"/>
      <c r="M24" s="2"/>
      <c r="N24" s="2" t="s">
        <v>170</v>
      </c>
      <c r="O24" s="10"/>
      <c r="P24" s="2"/>
    </row>
    <row r="25" customFormat="false" ht="23.85" hidden="false" customHeight="false" outlineLevel="0" collapsed="false">
      <c r="A25" s="2" t="s">
        <v>25</v>
      </c>
      <c r="B25" s="2" t="s">
        <v>137</v>
      </c>
      <c r="C25" s="2" t="s">
        <v>138</v>
      </c>
      <c r="D25" s="2" t="s">
        <v>25</v>
      </c>
      <c r="E25" s="3" t="n">
        <v>45992</v>
      </c>
      <c r="F25" s="2"/>
      <c r="G25" s="7" t="s">
        <v>139</v>
      </c>
      <c r="H25" s="2" t="n">
        <v>1</v>
      </c>
      <c r="I25" s="2" t="n">
        <v>0</v>
      </c>
      <c r="J25" s="2" t="n">
        <v>1</v>
      </c>
      <c r="K25" s="3" t="n">
        <v>46091</v>
      </c>
      <c r="L25" s="3" t="n">
        <v>46091</v>
      </c>
      <c r="M25" s="2" t="s">
        <v>137</v>
      </c>
      <c r="N25" s="9" t="s">
        <v>166</v>
      </c>
      <c r="O25" s="10" t="s">
        <v>180</v>
      </c>
      <c r="P25" s="2"/>
    </row>
    <row r="26" customFormat="false" ht="15" hidden="false" customHeight="false" outlineLevel="0" collapsed="false">
      <c r="A26" s="2" t="s">
        <v>25</v>
      </c>
      <c r="B26" s="2" t="s">
        <v>134</v>
      </c>
      <c r="C26" s="2" t="s">
        <v>135</v>
      </c>
      <c r="D26" s="2" t="s">
        <v>25</v>
      </c>
      <c r="E26" s="3" t="n">
        <v>44638</v>
      </c>
      <c r="F26" s="2"/>
      <c r="G26" s="7" t="s">
        <v>136</v>
      </c>
      <c r="H26" s="2" t="n">
        <v>1</v>
      </c>
      <c r="I26" s="2" t="n">
        <v>2</v>
      </c>
      <c r="J26" s="2" t="n">
        <v>1</v>
      </c>
      <c r="K26" s="3" t="n">
        <v>46086</v>
      </c>
      <c r="L26" s="3" t="n">
        <v>46087</v>
      </c>
      <c r="M26" s="2" t="s">
        <v>163</v>
      </c>
      <c r="N26" s="11" t="s">
        <v>178</v>
      </c>
      <c r="O26" s="10" t="s">
        <v>181</v>
      </c>
      <c r="P26" s="2"/>
    </row>
    <row r="27" customFormat="false" ht="15" hidden="false" customHeight="false" outlineLevel="0" collapsed="false">
      <c r="A27" s="2" t="s">
        <v>25</v>
      </c>
      <c r="B27" s="2" t="s">
        <v>131</v>
      </c>
      <c r="C27" s="2" t="s">
        <v>132</v>
      </c>
      <c r="D27" s="2" t="s">
        <v>25</v>
      </c>
      <c r="E27" s="3" t="n">
        <v>45557</v>
      </c>
      <c r="F27" s="2"/>
      <c r="G27" s="7" t="s">
        <v>133</v>
      </c>
      <c r="H27" s="2" t="n">
        <v>0</v>
      </c>
      <c r="I27" s="2" t="n">
        <v>0</v>
      </c>
      <c r="J27" s="2" t="n">
        <v>0</v>
      </c>
      <c r="K27" s="3"/>
      <c r="L27" s="3"/>
      <c r="M27" s="2"/>
      <c r="N27" s="2" t="s">
        <v>170</v>
      </c>
      <c r="O27" s="10"/>
      <c r="P27" s="2"/>
    </row>
    <row r="28" customFormat="false" ht="15" hidden="false" customHeight="false" outlineLevel="0" collapsed="false">
      <c r="A28" s="2" t="s">
        <v>27</v>
      </c>
      <c r="B28" s="2" t="s">
        <v>140</v>
      </c>
      <c r="C28" s="2" t="s">
        <v>141</v>
      </c>
      <c r="D28" s="2" t="s">
        <v>27</v>
      </c>
      <c r="E28" s="3" t="n">
        <v>45134</v>
      </c>
      <c r="F28" s="2"/>
      <c r="G28" s="7" t="s">
        <v>142</v>
      </c>
      <c r="H28" s="2" t="n">
        <v>1</v>
      </c>
      <c r="I28" s="2" t="n">
        <v>2</v>
      </c>
      <c r="J28" s="2" t="n">
        <v>1</v>
      </c>
      <c r="K28" s="3" t="n">
        <v>45860</v>
      </c>
      <c r="L28" s="3" t="n">
        <v>45861</v>
      </c>
      <c r="M28" s="2" t="s">
        <v>163</v>
      </c>
      <c r="N28" s="11" t="s">
        <v>178</v>
      </c>
      <c r="O28" s="10" t="s">
        <v>182</v>
      </c>
      <c r="P28" s="2"/>
    </row>
    <row r="29" customFormat="false" ht="15" hidden="false" customHeight="false" outlineLevel="0" collapsed="false">
      <c r="A29" s="2" t="s">
        <v>27</v>
      </c>
      <c r="B29" s="2" t="s">
        <v>143</v>
      </c>
      <c r="C29" s="2" t="s">
        <v>144</v>
      </c>
      <c r="D29" s="2" t="s">
        <v>146</v>
      </c>
      <c r="E29" s="3" t="n">
        <v>44506</v>
      </c>
      <c r="F29" s="2"/>
      <c r="G29" s="7" t="s">
        <v>145</v>
      </c>
      <c r="H29" s="2" t="n">
        <v>0</v>
      </c>
      <c r="I29" s="2" t="n">
        <v>0</v>
      </c>
      <c r="J29" s="2" t="n">
        <v>0</v>
      </c>
      <c r="K29" s="3"/>
      <c r="L29" s="3"/>
      <c r="M29" s="2"/>
      <c r="N29" s="2" t="s">
        <v>170</v>
      </c>
      <c r="O29" s="10"/>
      <c r="P29" s="2" t="s">
        <v>147</v>
      </c>
    </row>
  </sheetData>
  <autoFilter ref="A1:P29"/>
  <hyperlinks>
    <hyperlink ref="G2" r:id="rId1" display="https://www.linkedin.com/in/sample-priya-natarajan"/>
    <hyperlink ref="G3" r:id="rId2" display="https://www.linkedin.com/in/sample-marcus-bell"/>
    <hyperlink ref="G4" r:id="rId3" display="https://www.linkedin.com/in/sample-grace-lindqvist"/>
    <hyperlink ref="G5" r:id="rId4" display="https://www.linkedin.com/in/sample-elena-ruiz"/>
    <hyperlink ref="G6" r:id="rId5" display="https://www.linkedin.com/in/sample-daniel-okafor"/>
    <hyperlink ref="G7" r:id="rId6" display="https://www.linkedin.com/in/sample-robert-haines"/>
    <hyperlink ref="G8" r:id="rId7" display="https://www.linkedin.com/in/sample-sofia-marchetti"/>
    <hyperlink ref="G9" r:id="rId8" display="https://www.linkedin.com/in/sample-kevin-tran"/>
    <hyperlink ref="G10" r:id="rId9" display="https://www.linkedin.com/in/sample-hannah-weiss"/>
    <hyperlink ref="G11" r:id="rId10" display="https://www.linkedin.com/in/sample-omar-haddad"/>
    <hyperlink ref="G12" r:id="rId11" display="https://www.linkedin.com/in/sample-james-whitaker"/>
    <hyperlink ref="G13" r:id="rId12" display="https://www.linkedin.com/in/sample-laura-chen"/>
    <hyperlink ref="G14" r:id="rId13" display="https://www.linkedin.com/in/sample-chris-delgado"/>
    <hyperlink ref="G15" r:id="rId14" display="https://www.linkedin.com/in/sample-nadia-petrova"/>
    <hyperlink ref="G16" r:id="rId15" display="https://www.linkedin.com/in/sample-aisha-bello"/>
    <hyperlink ref="G17" r:id="rId16" display="https://www.linkedin.com/in/sample-tom-fischer"/>
    <hyperlink ref="G18" r:id="rId17" display="https://www.linkedin.com/in/sample-yuki-tanaka"/>
    <hyperlink ref="G19" r:id="rId18" display="https://www.linkedin.com/in/sample-brian-kowalski"/>
    <hyperlink ref="G20" r:id="rId19" display="https://www.linkedin.com/in/sample-megan-foster"/>
    <hyperlink ref="G21" r:id="rId20" display="https://www.linkedin.com/in/sample-arjun-mehta"/>
    <hyperlink ref="G22" r:id="rId21" display="https://www.linkedin.com/in/sample-carla-santos"/>
    <hyperlink ref="G23" r:id="rId22" display="https://www.linkedin.com/in/sample-peter-novak"/>
    <hyperlink ref="G24" r:id="rId23" display="https://www.linkedin.com/in/sample-diane-morris"/>
    <hyperlink ref="G25" r:id="rId24" display="https://www.linkedin.com/in/sample-victor-lang"/>
    <hyperlink ref="G26" r:id="rId25" display="https://www.linkedin.com/in/sample-samuel-greene"/>
    <hyperlink ref="G27" r:id="rId26" display="https://www.linkedin.com/in/sample-rachel-ito"/>
    <hyperlink ref="G28" r:id="rId27" display="https://www.linkedin.com/in/sample-isabel-duarte"/>
    <hyperlink ref="G29" r:id="rId28" display="https://www.linkedin.com/in/sample-felix-brand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6" min="5" style="0" width="22"/>
    <col collapsed="false" customWidth="true" hidden="false" outlineLevel="0" max="7" min="7" style="0" width="36"/>
    <col collapsed="false" customWidth="true" hidden="false" outlineLevel="0" max="8" min="8" style="0" width="90"/>
    <col collapsed="false" customWidth="true" hidden="false" outlineLevel="0" max="9" min="9" style="0" width="9"/>
    <col collapsed="false" customWidth="true" hidden="false" outlineLevel="0" max="10" min="10" style="0" width="30"/>
  </cols>
  <sheetData>
    <row r="1" customFormat="false" ht="26.85" hidden="false" customHeight="false" outlineLevel="0" collapsed="false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</row>
    <row r="2" customFormat="false" ht="15" hidden="false" customHeight="false" outlineLevel="0" collapsed="false">
      <c r="A2" s="2" t="s">
        <v>13</v>
      </c>
      <c r="B2" s="2" t="s">
        <v>44</v>
      </c>
      <c r="C2" s="12" t="n">
        <v>45979.6875</v>
      </c>
      <c r="D2" s="2" t="s">
        <v>192</v>
      </c>
      <c r="E2" s="2" t="s">
        <v>193</v>
      </c>
      <c r="F2" s="2" t="s">
        <v>44</v>
      </c>
      <c r="G2" s="2"/>
      <c r="H2" s="10" t="s">
        <v>165</v>
      </c>
      <c r="I2" s="2" t="s">
        <v>194</v>
      </c>
      <c r="J2" s="2" t="s">
        <v>195</v>
      </c>
    </row>
    <row r="3" customFormat="false" ht="15" hidden="false" customHeight="false" outlineLevel="0" collapsed="false">
      <c r="A3" s="2" t="s">
        <v>13</v>
      </c>
      <c r="B3" s="2" t="s">
        <v>49</v>
      </c>
      <c r="C3" s="12" t="n">
        <v>46055.5902777778</v>
      </c>
      <c r="D3" s="2" t="s">
        <v>192</v>
      </c>
      <c r="E3" s="2" t="s">
        <v>193</v>
      </c>
      <c r="F3" s="2" t="s">
        <v>49</v>
      </c>
      <c r="G3" s="2"/>
      <c r="H3" s="10" t="s">
        <v>196</v>
      </c>
      <c r="I3" s="2" t="s">
        <v>194</v>
      </c>
      <c r="J3" s="2" t="s">
        <v>197</v>
      </c>
    </row>
    <row r="4" customFormat="false" ht="15" hidden="false" customHeight="false" outlineLevel="0" collapsed="false">
      <c r="A4" s="2" t="s">
        <v>13</v>
      </c>
      <c r="B4" s="2" t="s">
        <v>49</v>
      </c>
      <c r="C4" s="12" t="n">
        <v>46056.3902777778</v>
      </c>
      <c r="D4" s="2" t="s">
        <v>198</v>
      </c>
      <c r="E4" s="2" t="s">
        <v>49</v>
      </c>
      <c r="F4" s="2" t="s">
        <v>193</v>
      </c>
      <c r="G4" s="2"/>
      <c r="H4" s="10" t="s">
        <v>199</v>
      </c>
      <c r="I4" s="2" t="s">
        <v>194</v>
      </c>
      <c r="J4" s="2" t="s">
        <v>197</v>
      </c>
    </row>
    <row r="5" customFormat="false" ht="15" hidden="false" customHeight="false" outlineLevel="0" collapsed="false">
      <c r="A5" s="2" t="s">
        <v>13</v>
      </c>
      <c r="B5" s="2" t="s">
        <v>49</v>
      </c>
      <c r="C5" s="12" t="n">
        <v>46056.4201388889</v>
      </c>
      <c r="D5" s="2" t="s">
        <v>192</v>
      </c>
      <c r="E5" s="2" t="s">
        <v>193</v>
      </c>
      <c r="F5" s="2" t="s">
        <v>49</v>
      </c>
      <c r="G5" s="2"/>
      <c r="H5" s="10" t="s">
        <v>200</v>
      </c>
      <c r="I5" s="2" t="s">
        <v>194</v>
      </c>
      <c r="J5" s="2" t="s">
        <v>197</v>
      </c>
    </row>
    <row r="6" customFormat="false" ht="15" hidden="false" customHeight="false" outlineLevel="0" collapsed="false">
      <c r="A6" s="2" t="s">
        <v>13</v>
      </c>
      <c r="B6" s="2" t="s">
        <v>49</v>
      </c>
      <c r="C6" s="12" t="n">
        <v>46057.3611111111</v>
      </c>
      <c r="D6" s="2" t="s">
        <v>198</v>
      </c>
      <c r="E6" s="2" t="s">
        <v>49</v>
      </c>
      <c r="F6" s="2" t="s">
        <v>193</v>
      </c>
      <c r="G6" s="2"/>
      <c r="H6" s="10" t="s">
        <v>162</v>
      </c>
      <c r="I6" s="2" t="s">
        <v>194</v>
      </c>
      <c r="J6" s="2" t="s">
        <v>197</v>
      </c>
    </row>
    <row r="7" customFormat="false" ht="15" hidden="false" customHeight="false" outlineLevel="0" collapsed="false">
      <c r="A7" s="2" t="s">
        <v>14</v>
      </c>
      <c r="B7" s="2" t="s">
        <v>52</v>
      </c>
      <c r="C7" s="12" t="n">
        <v>45455.4583333333</v>
      </c>
      <c r="D7" s="2" t="s">
        <v>192</v>
      </c>
      <c r="E7" s="2" t="s">
        <v>193</v>
      </c>
      <c r="F7" s="2" t="s">
        <v>52</v>
      </c>
      <c r="G7" s="2"/>
      <c r="H7" s="10" t="s">
        <v>201</v>
      </c>
      <c r="I7" s="2" t="s">
        <v>194</v>
      </c>
      <c r="J7" s="2" t="s">
        <v>202</v>
      </c>
    </row>
    <row r="8" customFormat="false" ht="15" hidden="false" customHeight="false" outlineLevel="0" collapsed="false">
      <c r="A8" s="2" t="s">
        <v>14</v>
      </c>
      <c r="B8" s="2" t="s">
        <v>52</v>
      </c>
      <c r="C8" s="12" t="n">
        <v>45456.3402777778</v>
      </c>
      <c r="D8" s="2" t="s">
        <v>198</v>
      </c>
      <c r="E8" s="2" t="s">
        <v>52</v>
      </c>
      <c r="F8" s="2" t="s">
        <v>193</v>
      </c>
      <c r="G8" s="2"/>
      <c r="H8" s="10" t="s">
        <v>169</v>
      </c>
      <c r="I8" s="2" t="s">
        <v>194</v>
      </c>
      <c r="J8" s="2" t="s">
        <v>202</v>
      </c>
    </row>
    <row r="9" customFormat="false" ht="15" hidden="false" customHeight="false" outlineLevel="0" collapsed="false">
      <c r="A9" s="2" t="s">
        <v>14</v>
      </c>
      <c r="B9" s="2" t="s">
        <v>56</v>
      </c>
      <c r="C9" s="12" t="n">
        <v>46001.5416666667</v>
      </c>
      <c r="D9" s="2" t="s">
        <v>198</v>
      </c>
      <c r="E9" s="2" t="s">
        <v>56</v>
      </c>
      <c r="F9" s="2" t="s">
        <v>193</v>
      </c>
      <c r="G9" s="2" t="s">
        <v>203</v>
      </c>
      <c r="H9" s="10" t="s">
        <v>204</v>
      </c>
      <c r="I9" s="2" t="s">
        <v>194</v>
      </c>
      <c r="J9" s="2" t="s">
        <v>205</v>
      </c>
    </row>
    <row r="10" customFormat="false" ht="15" hidden="false" customHeight="false" outlineLevel="0" collapsed="false">
      <c r="A10" s="2" t="s">
        <v>14</v>
      </c>
      <c r="B10" s="2" t="s">
        <v>56</v>
      </c>
      <c r="C10" s="12" t="n">
        <v>46002.3854166667</v>
      </c>
      <c r="D10" s="2" t="s">
        <v>192</v>
      </c>
      <c r="E10" s="2" t="s">
        <v>193</v>
      </c>
      <c r="F10" s="2" t="s">
        <v>56</v>
      </c>
      <c r="G10" s="2" t="s">
        <v>203</v>
      </c>
      <c r="H10" s="10" t="s">
        <v>206</v>
      </c>
      <c r="I10" s="2" t="s">
        <v>194</v>
      </c>
      <c r="J10" s="2" t="s">
        <v>205</v>
      </c>
    </row>
    <row r="11" customFormat="false" ht="15" hidden="false" customHeight="false" outlineLevel="0" collapsed="false">
      <c r="A11" s="2" t="s">
        <v>14</v>
      </c>
      <c r="B11" s="2" t="s">
        <v>56</v>
      </c>
      <c r="C11" s="12" t="n">
        <v>46028.5208333333</v>
      </c>
      <c r="D11" s="2" t="s">
        <v>198</v>
      </c>
      <c r="E11" s="2" t="s">
        <v>56</v>
      </c>
      <c r="F11" s="2" t="s">
        <v>193</v>
      </c>
      <c r="G11" s="2" t="s">
        <v>203</v>
      </c>
      <c r="H11" s="10" t="s">
        <v>168</v>
      </c>
      <c r="I11" s="2" t="s">
        <v>194</v>
      </c>
      <c r="J11" s="2" t="s">
        <v>205</v>
      </c>
    </row>
    <row r="12" customFormat="false" ht="23.85" hidden="false" customHeight="false" outlineLevel="0" collapsed="false">
      <c r="A12" s="2" t="s">
        <v>14</v>
      </c>
      <c r="B12" s="2" t="s">
        <v>60</v>
      </c>
      <c r="C12" s="12" t="n">
        <v>46083.7395833333</v>
      </c>
      <c r="D12" s="2" t="s">
        <v>198</v>
      </c>
      <c r="E12" s="2" t="s">
        <v>60</v>
      </c>
      <c r="F12" s="2" t="s">
        <v>193</v>
      </c>
      <c r="G12" s="2"/>
      <c r="H12" s="10" t="s">
        <v>167</v>
      </c>
      <c r="I12" s="2" t="s">
        <v>194</v>
      </c>
      <c r="J12" s="2" t="s">
        <v>207</v>
      </c>
    </row>
    <row r="13" customFormat="false" ht="23.85" hidden="false" customHeight="false" outlineLevel="0" collapsed="false">
      <c r="A13" s="2" t="s">
        <v>15</v>
      </c>
      <c r="B13" s="2" t="s">
        <v>72</v>
      </c>
      <c r="C13" s="12" t="n">
        <v>46042.4375</v>
      </c>
      <c r="D13" s="2" t="s">
        <v>192</v>
      </c>
      <c r="E13" s="2" t="s">
        <v>193</v>
      </c>
      <c r="F13" s="2" t="s">
        <v>72</v>
      </c>
      <c r="G13" s="2"/>
      <c r="H13" s="10" t="s">
        <v>171</v>
      </c>
      <c r="I13" s="2" t="s">
        <v>194</v>
      </c>
      <c r="J13" s="2" t="s">
        <v>208</v>
      </c>
    </row>
    <row r="14" customFormat="false" ht="15" hidden="false" customHeight="false" outlineLevel="0" collapsed="false">
      <c r="A14" s="2" t="s">
        <v>16</v>
      </c>
      <c r="B14" s="2" t="s">
        <v>75</v>
      </c>
      <c r="C14" s="12" t="n">
        <v>45908.625</v>
      </c>
      <c r="D14" s="2" t="s">
        <v>192</v>
      </c>
      <c r="E14" s="2" t="s">
        <v>193</v>
      </c>
      <c r="F14" s="2" t="s">
        <v>75</v>
      </c>
      <c r="G14" s="2"/>
      <c r="H14" s="10" t="s">
        <v>209</v>
      </c>
      <c r="I14" s="2" t="s">
        <v>194</v>
      </c>
      <c r="J14" s="2" t="s">
        <v>210</v>
      </c>
    </row>
    <row r="15" customFormat="false" ht="15" hidden="false" customHeight="false" outlineLevel="0" collapsed="false">
      <c r="A15" s="2" t="s">
        <v>16</v>
      </c>
      <c r="B15" s="2" t="s">
        <v>75</v>
      </c>
      <c r="C15" s="12" t="n">
        <v>45910.375</v>
      </c>
      <c r="D15" s="2" t="s">
        <v>198</v>
      </c>
      <c r="E15" s="2" t="s">
        <v>75</v>
      </c>
      <c r="F15" s="2" t="s">
        <v>193</v>
      </c>
      <c r="G15" s="2"/>
      <c r="H15" s="10" t="s">
        <v>172</v>
      </c>
      <c r="I15" s="2" t="s">
        <v>194</v>
      </c>
      <c r="J15" s="2" t="s">
        <v>210</v>
      </c>
    </row>
    <row r="16" customFormat="false" ht="15" hidden="false" customHeight="false" outlineLevel="0" collapsed="false">
      <c r="A16" s="2" t="s">
        <v>18</v>
      </c>
      <c r="B16" s="2" t="s">
        <v>91</v>
      </c>
      <c r="C16" s="12" t="n">
        <v>45020.4166666667</v>
      </c>
      <c r="D16" s="2" t="s">
        <v>198</v>
      </c>
      <c r="E16" s="2" t="s">
        <v>91</v>
      </c>
      <c r="F16" s="2" t="s">
        <v>193</v>
      </c>
      <c r="G16" s="2"/>
      <c r="H16" s="10" t="s">
        <v>174</v>
      </c>
      <c r="I16" s="2" t="s">
        <v>194</v>
      </c>
      <c r="J16" s="2" t="s">
        <v>211</v>
      </c>
    </row>
    <row r="17" customFormat="false" ht="15" hidden="false" customHeight="false" outlineLevel="0" collapsed="false">
      <c r="A17" s="2" t="s">
        <v>18</v>
      </c>
      <c r="B17" s="2" t="s">
        <v>85</v>
      </c>
      <c r="C17" s="12" t="n">
        <v>45931.5833333333</v>
      </c>
      <c r="D17" s="2" t="s">
        <v>198</v>
      </c>
      <c r="E17" s="2" t="s">
        <v>88</v>
      </c>
      <c r="F17" s="2" t="s">
        <v>212</v>
      </c>
      <c r="G17" s="2" t="s">
        <v>213</v>
      </c>
      <c r="H17" s="10" t="s">
        <v>214</v>
      </c>
      <c r="I17" s="2" t="s">
        <v>194</v>
      </c>
      <c r="J17" s="2" t="s">
        <v>215</v>
      </c>
    </row>
    <row r="18" customFormat="false" ht="15" hidden="false" customHeight="false" outlineLevel="0" collapsed="false">
      <c r="A18" s="2" t="s">
        <v>18</v>
      </c>
      <c r="B18" s="2" t="s">
        <v>85</v>
      </c>
      <c r="C18" s="12" t="n">
        <v>45931.6805555556</v>
      </c>
      <c r="D18" s="2" t="s">
        <v>192</v>
      </c>
      <c r="E18" s="2" t="s">
        <v>193</v>
      </c>
      <c r="F18" s="2" t="s">
        <v>216</v>
      </c>
      <c r="G18" s="2" t="s">
        <v>213</v>
      </c>
      <c r="H18" s="10" t="s">
        <v>217</v>
      </c>
      <c r="I18" s="2" t="s">
        <v>194</v>
      </c>
      <c r="J18" s="2" t="s">
        <v>215</v>
      </c>
    </row>
    <row r="19" customFormat="false" ht="15" hidden="false" customHeight="false" outlineLevel="0" collapsed="false">
      <c r="A19" s="2" t="s">
        <v>18</v>
      </c>
      <c r="B19" s="2" t="s">
        <v>85</v>
      </c>
      <c r="C19" s="12" t="n">
        <v>45933.40625</v>
      </c>
      <c r="D19" s="2" t="s">
        <v>198</v>
      </c>
      <c r="E19" s="2" t="s">
        <v>85</v>
      </c>
      <c r="F19" s="2" t="s">
        <v>218</v>
      </c>
      <c r="G19" s="2" t="s">
        <v>213</v>
      </c>
      <c r="H19" s="10" t="s">
        <v>173</v>
      </c>
      <c r="I19" s="2" t="s">
        <v>194</v>
      </c>
      <c r="J19" s="2" t="s">
        <v>215</v>
      </c>
    </row>
    <row r="20" customFormat="false" ht="15" hidden="false" customHeight="false" outlineLevel="0" collapsed="false">
      <c r="A20" s="2" t="s">
        <v>18</v>
      </c>
      <c r="B20" s="2" t="s">
        <v>88</v>
      </c>
      <c r="C20" s="12" t="n">
        <v>45931.5833333333</v>
      </c>
      <c r="D20" s="2" t="s">
        <v>198</v>
      </c>
      <c r="E20" s="2" t="s">
        <v>88</v>
      </c>
      <c r="F20" s="2" t="s">
        <v>212</v>
      </c>
      <c r="G20" s="2" t="s">
        <v>213</v>
      </c>
      <c r="H20" s="10" t="s">
        <v>214</v>
      </c>
      <c r="I20" s="2" t="s">
        <v>194</v>
      </c>
      <c r="J20" s="2" t="s">
        <v>215</v>
      </c>
    </row>
    <row r="21" customFormat="false" ht="15" hidden="false" customHeight="false" outlineLevel="0" collapsed="false">
      <c r="A21" s="2" t="s">
        <v>18</v>
      </c>
      <c r="B21" s="2" t="s">
        <v>88</v>
      </c>
      <c r="C21" s="12" t="n">
        <v>45931.6805555556</v>
      </c>
      <c r="D21" s="2" t="s">
        <v>192</v>
      </c>
      <c r="E21" s="2" t="s">
        <v>193</v>
      </c>
      <c r="F21" s="2" t="s">
        <v>216</v>
      </c>
      <c r="G21" s="2" t="s">
        <v>213</v>
      </c>
      <c r="H21" s="10" t="s">
        <v>217</v>
      </c>
      <c r="I21" s="2" t="s">
        <v>194</v>
      </c>
      <c r="J21" s="2" t="s">
        <v>215</v>
      </c>
    </row>
    <row r="22" customFormat="false" ht="15" hidden="false" customHeight="false" outlineLevel="0" collapsed="false">
      <c r="A22" s="2" t="s">
        <v>18</v>
      </c>
      <c r="B22" s="2" t="s">
        <v>88</v>
      </c>
      <c r="C22" s="12" t="n">
        <v>45933.40625</v>
      </c>
      <c r="D22" s="2" t="s">
        <v>198</v>
      </c>
      <c r="E22" s="2" t="s">
        <v>85</v>
      </c>
      <c r="F22" s="2" t="s">
        <v>218</v>
      </c>
      <c r="G22" s="2" t="s">
        <v>213</v>
      </c>
      <c r="H22" s="10" t="s">
        <v>173</v>
      </c>
      <c r="I22" s="2" t="s">
        <v>194</v>
      </c>
      <c r="J22" s="2" t="s">
        <v>215</v>
      </c>
    </row>
    <row r="23" customFormat="false" ht="15" hidden="false" customHeight="false" outlineLevel="0" collapsed="false">
      <c r="A23" s="2" t="s">
        <v>19</v>
      </c>
      <c r="B23" s="2" t="s">
        <v>101</v>
      </c>
      <c r="C23" s="12" t="n">
        <v>45791.5</v>
      </c>
      <c r="D23" s="2" t="s">
        <v>192</v>
      </c>
      <c r="E23" s="2" t="s">
        <v>193</v>
      </c>
      <c r="F23" s="2" t="s">
        <v>101</v>
      </c>
      <c r="G23" s="2"/>
      <c r="H23" s="10" t="s">
        <v>219</v>
      </c>
      <c r="I23" s="2" t="s">
        <v>194</v>
      </c>
      <c r="J23" s="2" t="s">
        <v>220</v>
      </c>
    </row>
    <row r="24" customFormat="false" ht="15" hidden="false" customHeight="false" outlineLevel="0" collapsed="false">
      <c r="A24" s="2" t="s">
        <v>19</v>
      </c>
      <c r="B24" s="2" t="s">
        <v>101</v>
      </c>
      <c r="C24" s="12" t="n">
        <v>45792.3541666667</v>
      </c>
      <c r="D24" s="2" t="s">
        <v>198</v>
      </c>
      <c r="E24" s="2" t="s">
        <v>101</v>
      </c>
      <c r="F24" s="2" t="s">
        <v>193</v>
      </c>
      <c r="G24" s="2"/>
      <c r="H24" s="10" t="s">
        <v>175</v>
      </c>
      <c r="I24" s="2" t="s">
        <v>194</v>
      </c>
      <c r="J24" s="2" t="s">
        <v>220</v>
      </c>
    </row>
    <row r="25" customFormat="false" ht="15" hidden="false" customHeight="false" outlineLevel="0" collapsed="false">
      <c r="A25" s="2" t="s">
        <v>22</v>
      </c>
      <c r="B25" s="2" t="s">
        <v>115</v>
      </c>
      <c r="C25" s="12" t="n">
        <v>44867.5486111111</v>
      </c>
      <c r="D25" s="2" t="s">
        <v>192</v>
      </c>
      <c r="E25" s="2" t="s">
        <v>193</v>
      </c>
      <c r="F25" s="2" t="s">
        <v>115</v>
      </c>
      <c r="G25" s="2"/>
      <c r="H25" s="10" t="s">
        <v>221</v>
      </c>
      <c r="I25" s="2" t="s">
        <v>194</v>
      </c>
      <c r="J25" s="2" t="s">
        <v>222</v>
      </c>
    </row>
    <row r="26" customFormat="false" ht="15" hidden="false" customHeight="false" outlineLevel="0" collapsed="false">
      <c r="A26" s="2" t="s">
        <v>22</v>
      </c>
      <c r="B26" s="2" t="s">
        <v>115</v>
      </c>
      <c r="C26" s="12" t="n">
        <v>44867.75</v>
      </c>
      <c r="D26" s="2" t="s">
        <v>198</v>
      </c>
      <c r="E26" s="2" t="s">
        <v>115</v>
      </c>
      <c r="F26" s="2" t="s">
        <v>193</v>
      </c>
      <c r="G26" s="2"/>
      <c r="H26" s="10" t="s">
        <v>176</v>
      </c>
      <c r="I26" s="2" t="s">
        <v>194</v>
      </c>
      <c r="J26" s="2" t="s">
        <v>222</v>
      </c>
    </row>
    <row r="27" customFormat="false" ht="15" hidden="false" customHeight="false" outlineLevel="0" collapsed="false">
      <c r="A27" s="2" t="s">
        <v>23</v>
      </c>
      <c r="B27" s="2" t="s">
        <v>118</v>
      </c>
      <c r="C27" s="12" t="n">
        <v>46078.375</v>
      </c>
      <c r="D27" s="2" t="s">
        <v>192</v>
      </c>
      <c r="E27" s="2" t="s">
        <v>193</v>
      </c>
      <c r="F27" s="2" t="s">
        <v>118</v>
      </c>
      <c r="G27" s="2"/>
      <c r="H27" s="10" t="s">
        <v>177</v>
      </c>
      <c r="I27" s="2" t="s">
        <v>194</v>
      </c>
      <c r="J27" s="2" t="s">
        <v>223</v>
      </c>
    </row>
    <row r="28" customFormat="false" ht="15" hidden="false" customHeight="false" outlineLevel="0" collapsed="false">
      <c r="A28" s="2" t="s">
        <v>24</v>
      </c>
      <c r="B28" s="2" t="s">
        <v>128</v>
      </c>
      <c r="C28" s="12" t="n">
        <v>45523.6458333333</v>
      </c>
      <c r="D28" s="2" t="s">
        <v>198</v>
      </c>
      <c r="E28" s="2" t="s">
        <v>128</v>
      </c>
      <c r="F28" s="2" t="s">
        <v>193</v>
      </c>
      <c r="G28" s="2"/>
      <c r="H28" s="10" t="s">
        <v>224</v>
      </c>
      <c r="I28" s="2" t="s">
        <v>194</v>
      </c>
      <c r="J28" s="2" t="s">
        <v>225</v>
      </c>
    </row>
    <row r="29" customFormat="false" ht="15" hidden="false" customHeight="false" outlineLevel="0" collapsed="false">
      <c r="A29" s="2" t="s">
        <v>24</v>
      </c>
      <c r="B29" s="2" t="s">
        <v>128</v>
      </c>
      <c r="C29" s="12" t="n">
        <v>45524.4166666667</v>
      </c>
      <c r="D29" s="2" t="s">
        <v>192</v>
      </c>
      <c r="E29" s="2" t="s">
        <v>193</v>
      </c>
      <c r="F29" s="2" t="s">
        <v>128</v>
      </c>
      <c r="G29" s="2"/>
      <c r="H29" s="10" t="s">
        <v>179</v>
      </c>
      <c r="I29" s="2" t="s">
        <v>194</v>
      </c>
      <c r="J29" s="2" t="s">
        <v>225</v>
      </c>
    </row>
    <row r="30" customFormat="false" ht="15" hidden="false" customHeight="false" outlineLevel="0" collapsed="false">
      <c r="A30" s="2" t="s">
        <v>25</v>
      </c>
      <c r="B30" s="2" t="s">
        <v>134</v>
      </c>
      <c r="C30" s="12" t="n">
        <v>46086.46875</v>
      </c>
      <c r="D30" s="2" t="s">
        <v>192</v>
      </c>
      <c r="E30" s="2" t="s">
        <v>193</v>
      </c>
      <c r="F30" s="2" t="s">
        <v>134</v>
      </c>
      <c r="G30" s="2"/>
      <c r="H30" s="10" t="s">
        <v>226</v>
      </c>
      <c r="I30" s="2" t="s">
        <v>194</v>
      </c>
      <c r="J30" s="2" t="s">
        <v>227</v>
      </c>
    </row>
    <row r="31" customFormat="false" ht="15" hidden="false" customHeight="false" outlineLevel="0" collapsed="false">
      <c r="A31" s="2" t="s">
        <v>25</v>
      </c>
      <c r="B31" s="2" t="s">
        <v>134</v>
      </c>
      <c r="C31" s="12" t="n">
        <v>46087.3263888889</v>
      </c>
      <c r="D31" s="2" t="s">
        <v>198</v>
      </c>
      <c r="E31" s="2" t="s">
        <v>134</v>
      </c>
      <c r="F31" s="2" t="s">
        <v>193</v>
      </c>
      <c r="G31" s="2"/>
      <c r="H31" s="10" t="s">
        <v>228</v>
      </c>
      <c r="I31" s="2" t="s">
        <v>194</v>
      </c>
      <c r="J31" s="2" t="s">
        <v>227</v>
      </c>
    </row>
    <row r="32" customFormat="false" ht="15" hidden="false" customHeight="false" outlineLevel="0" collapsed="false">
      <c r="A32" s="2" t="s">
        <v>25</v>
      </c>
      <c r="B32" s="2" t="s">
        <v>134</v>
      </c>
      <c r="C32" s="12" t="n">
        <v>46087.3541666667</v>
      </c>
      <c r="D32" s="2" t="s">
        <v>192</v>
      </c>
      <c r="E32" s="2" t="s">
        <v>193</v>
      </c>
      <c r="F32" s="2" t="s">
        <v>134</v>
      </c>
      <c r="G32" s="2"/>
      <c r="H32" s="10" t="s">
        <v>181</v>
      </c>
      <c r="I32" s="2" t="s">
        <v>194</v>
      </c>
      <c r="J32" s="2" t="s">
        <v>227</v>
      </c>
    </row>
    <row r="33" customFormat="false" ht="15" hidden="false" customHeight="false" outlineLevel="0" collapsed="false">
      <c r="A33" s="2" t="s">
        <v>25</v>
      </c>
      <c r="B33" s="2" t="s">
        <v>137</v>
      </c>
      <c r="C33" s="12" t="n">
        <v>46091.6666666667</v>
      </c>
      <c r="D33" s="2" t="s">
        <v>198</v>
      </c>
      <c r="E33" s="2" t="s">
        <v>137</v>
      </c>
      <c r="F33" s="2" t="s">
        <v>193</v>
      </c>
      <c r="G33" s="2"/>
      <c r="H33" s="10" t="s">
        <v>180</v>
      </c>
      <c r="I33" s="2" t="s">
        <v>194</v>
      </c>
      <c r="J33" s="2" t="s">
        <v>229</v>
      </c>
    </row>
    <row r="34" customFormat="false" ht="15" hidden="false" customHeight="false" outlineLevel="0" collapsed="false">
      <c r="A34" s="2" t="s">
        <v>27</v>
      </c>
      <c r="B34" s="2" t="s">
        <v>140</v>
      </c>
      <c r="C34" s="12" t="n">
        <v>45860.5833333333</v>
      </c>
      <c r="D34" s="2" t="s">
        <v>192</v>
      </c>
      <c r="E34" s="2" t="s">
        <v>193</v>
      </c>
      <c r="F34" s="2" t="s">
        <v>140</v>
      </c>
      <c r="G34" s="2"/>
      <c r="H34" s="10" t="s">
        <v>230</v>
      </c>
      <c r="I34" s="2" t="s">
        <v>194</v>
      </c>
      <c r="J34" s="2" t="s">
        <v>231</v>
      </c>
    </row>
    <row r="35" customFormat="false" ht="15" hidden="false" customHeight="false" outlineLevel="0" collapsed="false">
      <c r="A35" s="2" t="s">
        <v>27</v>
      </c>
      <c r="B35" s="2" t="s">
        <v>140</v>
      </c>
      <c r="C35" s="12" t="n">
        <v>45861.375</v>
      </c>
      <c r="D35" s="2" t="s">
        <v>198</v>
      </c>
      <c r="E35" s="2" t="s">
        <v>140</v>
      </c>
      <c r="F35" s="2" t="s">
        <v>193</v>
      </c>
      <c r="G35" s="2"/>
      <c r="H35" s="10" t="s">
        <v>232</v>
      </c>
      <c r="I35" s="2" t="s">
        <v>194</v>
      </c>
      <c r="J35" s="2" t="s">
        <v>231</v>
      </c>
    </row>
    <row r="36" customFormat="false" ht="15" hidden="false" customHeight="false" outlineLevel="0" collapsed="false">
      <c r="A36" s="2" t="s">
        <v>27</v>
      </c>
      <c r="B36" s="2" t="s">
        <v>140</v>
      </c>
      <c r="C36" s="12" t="n">
        <v>45861.4166666667</v>
      </c>
      <c r="D36" s="2" t="s">
        <v>192</v>
      </c>
      <c r="E36" s="2" t="s">
        <v>193</v>
      </c>
      <c r="F36" s="2" t="s">
        <v>140</v>
      </c>
      <c r="G36" s="2"/>
      <c r="H36" s="10" t="s">
        <v>182</v>
      </c>
      <c r="I36" s="2" t="s">
        <v>194</v>
      </c>
      <c r="J36" s="2" t="s">
        <v>231</v>
      </c>
    </row>
  </sheetData>
  <autoFilter ref="A1:J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2026-10-08T16:33:20Z</dcterms:created>
  <dc:creator>openpyxl</dc:creator>
  <dc:description/>
  <dc:language>en-US</dc:language>
  <cp:lastModifiedBy/>
  <dcterms:modified xsi:type="dcterms:W3CDTF">2026-10-08T16:33:21Z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