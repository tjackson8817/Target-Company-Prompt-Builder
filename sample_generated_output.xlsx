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rget Companies" sheetId="2" state="visible" r:id="rId4"/>
    <sheet name="Tier 2 - Additional Candidates" sheetId="3" state="visible" r:id="rId5"/>
    <sheet name="Job Posting Quick Links" sheetId="4" state="visible" r:id="rId6"/>
    <sheet name="Job Post Finder" sheetId="5" state="visible" r:id="rId7"/>
    <sheet name="Industry Events &amp; Forums" sheetId="6" state="visible" r:id="rId8"/>
    <sheet name="Company Activity &amp; Events" sheetId="7" state="visible" r:id="rId9"/>
    <sheet name="Notes &amp; Assumptions" sheetId="8" state="visible" r:id="rId10"/>
  </sheets>
  <definedNames>
    <definedName function="false" hidden="true" localSheetId="6" name="_xlnm._FilterDatabase" vbProcedure="false">'Company Activity &amp; Events'!$A$1:$E$6</definedName>
    <definedName function="false" hidden="true" localSheetId="5" name="_xlnm._FilterDatabase" vbProcedure="false">'Industry Events &amp; Forums'!$A$1:$F$3</definedName>
    <definedName function="false" hidden="true" localSheetId="4" name="_xlnm._FilterDatabase" vbProcedure="false">'Job Post Finder'!$A$1:$B$6</definedName>
    <definedName function="false" hidden="true" localSheetId="3" name="_xlnm._FilterDatabase" vbProcedure="false">'Job Posting Quick Links'!$A$1:$E$6</definedName>
    <definedName function="false" hidden="true" localSheetId="1" name="_xlnm._FilterDatabase" vbProcedure="false">'Target Companies'!$A$1:$AF$6</definedName>
    <definedName function="false" hidden="true" localSheetId="2" name="_xlnm._FilterDatabase" vbProcedure="false">'Tier 2 - Additional Candidates'!$A$4:$I$39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B1" authorId="0">
      <text>
        <r>
          <rPr>
            <sz val="10"/>
            <rFont val="Arial"/>
            <family val="2"/>
          </rPr>
          <t xml:space="preserve">Mechanical starting point: (Fit×2)+(Relevance×2)+avg(Growth,Hiring,Recent Hiring), rounded to 1 decimal. Compare against your own Priority Score.</t>
        </r>
      </text>
    </comment>
  </commentList>
</comments>
</file>

<file path=xl/sharedStrings.xml><?xml version="1.0" encoding="utf-8"?>
<sst xmlns="http://schemas.openxmlformats.org/spreadsheetml/2006/main" count="488" uniqueCount="320">
  <si>
    <t xml:space="preserve">Target Company Tracker — Summary</t>
  </si>
  <si>
    <t xml:space="preserve">Sample output — OT/ICS cybersecurity consulting &amp; vendor prospects, job search targets for a Director-level OT cybersecurity role. Generated August 10, 2026.</t>
  </si>
  <si>
    <t xml:space="preserve">Tier 1 (full research)</t>
  </si>
  <si>
    <t xml:space="preserve">companies</t>
  </si>
  <si>
    <t xml:space="preserve">Tier 2 (basic info, found)</t>
  </si>
  <si>
    <t xml:space="preserve">Tier 2 (pending, not found this pass)</t>
  </si>
  <si>
    <t xml:space="preserve">Tier 1 by Opportunity Fit</t>
  </si>
  <si>
    <t xml:space="preserve">Very High</t>
  </si>
  <si>
    <t xml:space="preserve">High</t>
  </si>
  <si>
    <t xml:space="preserve">Tier 1 by Category</t>
  </si>
  <si>
    <t xml:space="preserve">Big 4 / Global Systems Integrator</t>
  </si>
  <si>
    <t xml:space="preserve">Big 4-Adjacent / GSI (Technology-Led)</t>
  </si>
  <si>
    <t xml:space="preserve">Pure-Play OT/ICS Security Vendor</t>
  </si>
  <si>
    <t xml:space="preserve">Top 5 by Suggested Priority Rank</t>
  </si>
  <si>
    <t xml:space="preserve">Company</t>
  </si>
  <si>
    <t xml:space="preserve">Priority Rank</t>
  </si>
  <si>
    <t xml:space="preserve">Dragos</t>
  </si>
  <si>
    <t xml:space="preserve">Claroty</t>
  </si>
  <si>
    <t xml:space="preserve">Accenture</t>
  </si>
  <si>
    <t xml:space="preserve">Deloitte</t>
  </si>
  <si>
    <t xml:space="preserve">EY</t>
  </si>
  <si>
    <t xml:space="preserve">Website</t>
  </si>
  <si>
    <t xml:space="preserve">Careers Page</t>
  </si>
  <si>
    <t xml:space="preserve">Industry / Sector</t>
  </si>
  <si>
    <t xml:space="preserve">Industry Emphasized</t>
  </si>
  <si>
    <t xml:space="preserve">NAICS Code</t>
  </si>
  <si>
    <t xml:space="preserve">NAICS Code Type</t>
  </si>
  <si>
    <t xml:space="preserve">Why This NAICS Code</t>
  </si>
  <si>
    <t xml:space="preserve">HQ Location / Footprint</t>
  </si>
  <si>
    <t xml:space="preserve">Company Size</t>
  </si>
  <si>
    <t xml:space="preserve">Revenue Band / Latest Revenue</t>
  </si>
  <si>
    <t xml:space="preserve">Growth / Revenue Signal</t>
  </si>
  <si>
    <t xml:space="preserve">Hiring Signal</t>
  </si>
  <si>
    <t xml:space="preserve">Recent Hiring Trends</t>
  </si>
  <si>
    <t xml:space="preserve">Salary Range (if posted)</t>
  </si>
  <si>
    <t xml:space="preserve">Opportunity Relevance</t>
  </si>
  <si>
    <t xml:space="preserve">Opportunity Fit</t>
  </si>
  <si>
    <t xml:space="preserve">Category</t>
  </si>
  <si>
    <t xml:space="preserve">Why This Fits</t>
  </si>
  <si>
    <t xml:space="preserve">Executive Role Fit</t>
  </si>
  <si>
    <t xml:space="preserve">Warm Introduction Path</t>
  </si>
  <si>
    <t xml:space="preserve">Outreach Approach</t>
  </si>
  <si>
    <t xml:space="preserve">Key Contacts / Priority Titles</t>
  </si>
  <si>
    <t xml:space="preserve">Compensation Benchmark</t>
  </si>
  <si>
    <t xml:space="preserve">Suggested Search Keywords</t>
  </si>
  <si>
    <t xml:space="preserve">Suggested Job Title Keywords</t>
  </si>
  <si>
    <t xml:space="preserve">Source URL</t>
  </si>
  <si>
    <t xml:space="preserve">Suggested Priority Rank (1-25)</t>
  </si>
  <si>
    <t xml:space="preserve">Priority Score</t>
  </si>
  <si>
    <t xml:space="preserve">Status</t>
  </si>
  <si>
    <t xml:space="preserve">Next Action</t>
  </si>
  <si>
    <t xml:space="preserve">Date Researched</t>
  </si>
  <si>
    <t xml:space="preserve">https://www2.deloitte.com</t>
  </si>
  <si>
    <t xml:space="preserve">https://apply.deloitte.com</t>
  </si>
  <si>
    <t xml:space="preserve">Management Consulting / Professional Services</t>
  </si>
  <si>
    <t xml:space="preserve">OT / cyber-physical resilience consulting (FAST platform)</t>
  </si>
  <si>
    <t xml:space="preserve">541611</t>
  </si>
  <si>
    <t xml:space="preserve">Primary</t>
  </si>
  <si>
    <t xml:space="preserve">Directly named; core classification is management consulting</t>
  </si>
  <si>
    <t xml:space="preserve">New York, NY, USA — Global</t>
  </si>
  <si>
    <t xml:space="preserve">450,000+ (order-of-magnitude, not verified this session)</t>
  </si>
  <si>
    <t xml:space="preserve">#1 by revenue, Gartner Security Services Worldwide 2025 (3rd year running)</t>
  </si>
  <si>
    <t xml:space="preserve">High — 19.1% Security Services revenue growth 2025 (up from 17% in 2024)</t>
  </si>
  <si>
    <t xml:space="preserve">High — named Leader, inaugural 2026 IDC MarketScape for OT Security Services</t>
  </si>
  <si>
    <t xml:space="preserve">Medium — not directly checked against job boards this session</t>
  </si>
  <si>
    <t xml:space="preserve">Leader in the first-ever IDC MarketScape for OT Security Services and #1 by revenue in Gartner Security Services 2025.</t>
  </si>
  <si>
    <t xml:space="preserve">Managing Director / Principal, Cyber (OT)</t>
  </si>
  <si>
    <t xml:space="preserve">Not inferable — no background shared for this sample run</t>
  </si>
  <si>
    <t xml:space="preserve">Target OT Cyber practice leadership directly; reference the 2026 IDC MarketScape Leader recognition as a conversation opener</t>
  </si>
  <si>
    <t xml:space="preserve">Ayan Chatterjee — Deloitte Global Cyber Portfolio leader</t>
  </si>
  <si>
    <t xml:space="preserve">Skip — privately held partnership, does not file a 10-K or proxy statement</t>
  </si>
  <si>
    <t xml:space="preserve">Deloitte OT cybersecurity, Deloitte cyber Managing Director, Deloitte FAST OT</t>
  </si>
  <si>
    <t xml:space="preserve">OT Cybersecurity Managing Director; Cyber Risk Senior Manager, OT; Industrial Cybersecurity Principal</t>
  </si>
  <si>
    <t xml:space="preserve">deloitte.com press release, Aug 5 2026</t>
  </si>
  <si>
    <t xml:space="preserve">August 10, 2026</t>
  </si>
  <si>
    <t xml:space="preserve">https://www.ey.com</t>
  </si>
  <si>
    <t xml:space="preserve">https://careers.ey.com</t>
  </si>
  <si>
    <t xml:space="preserve">OT cybersecurity consulting; EY–ServiceNow OT Management alliance</t>
  </si>
  <si>
    <t xml:space="preserve">London, UK — Global</t>
  </si>
  <si>
    <t xml:space="preserve">400,000+ (order-of-magnitude, not verified this session)</t>
  </si>
  <si>
    <t xml:space="preserve">Not independently verified this session</t>
  </si>
  <si>
    <t xml:space="preserve">Medium — implied by repeat recognition, not independently quantified this session</t>
  </si>
  <si>
    <t xml:space="preserve">High — live OT Cyber Security Manager/Senior Manager req confirmed</t>
  </si>
  <si>
    <t xml:space="preserve">High — live posting confirmed on careers.ey.com, checked 08/10/2026</t>
  </si>
  <si>
    <t xml:space="preserve">Repeat, independently-verified Leader recognition plus a confirmed live OT cyber security req.</t>
  </si>
  <si>
    <t xml:space="preserve">Managing Director, Technology Consulting (OT Cyber Lead)</t>
  </si>
  <si>
    <t xml:space="preserve">Reference the confirmed OT Cyber Security Manager/Senior Manager req directly; connect with the Americas OT Cyber Lead</t>
  </si>
  <si>
    <t xml:space="preserve">MD, Technology Consulting, OT Cyber Lead, Americas — EY LLP (title confirmed; individual not named on page found)</t>
  </si>
  <si>
    <t xml:space="preserve">EY OT cybersecurity, EY Technology Consulting OT Cyber, EY Americas OT Cyber Lead</t>
  </si>
  <si>
    <t xml:space="preserve">OT Cyber Security Manager; OT Cyber Security Senior Manager; Technology Consulting OT Cyber</t>
  </si>
  <si>
    <t xml:space="preserve">careers.ey.com job posting, checked 08/10/2026</t>
  </si>
  <si>
    <t xml:space="preserve">https://www.accenture.com</t>
  </si>
  <si>
    <t xml:space="preserve">https://www.accenture.com/us-en/careers</t>
  </si>
  <si>
    <t xml:space="preserve">IT Services / Management &amp; Technology Consulting</t>
  </si>
  <si>
    <t xml:space="preserve">End-to-end OT cybersecurity — $7B services leader expanding into $27B OT software market</t>
  </si>
  <si>
    <t xml:space="preserve">541512</t>
  </si>
  <si>
    <t xml:space="preserve">Directly named; Computer Systems Design fits core classification</t>
  </si>
  <si>
    <t xml:space="preserve">Dublin, Ireland — Global</t>
  </si>
  <si>
    <t xml:space="preserve">750,000+ (order-of-magnitude, not verified this session)</t>
  </si>
  <si>
    <t xml:space="preserve">Cybersecurity business: $10B FY2025, up from $700M in 2016</t>
  </si>
  <si>
    <t xml:space="preserve">Very High — cyber business grew $700M (2016) to $10B (FY2025), 4x overall company growth rate</t>
  </si>
  <si>
    <t xml:space="preserve">Very High — $4.175B majority-stake acquisition of Dragos + runZero + NetRise (June 18 2026), closing Aug/Sep 2026</t>
  </si>
  <si>
    <t xml:space="preserve">Big 4-Adjacent / Global Systems Integrator (Technology-Led)</t>
  </si>
  <si>
    <t xml:space="preserve">Largest OT cybersecurity M&amp;A move found this session ($4.175B) — major, well-funded investment in exactly this space.</t>
  </si>
  <si>
    <t xml:space="preserve">Managing Director, Security (OT/Critical Infrastructure)</t>
  </si>
  <si>
    <t xml:space="preserve">Time outreach around the Dragos/runZero/NetRise deal close (expected Aug/Sep 2026) — integration typically drives new roles</t>
  </si>
  <si>
    <t xml:space="preserve">Julie Sweet — Chair &amp; CEO, Accenture</t>
  </si>
  <si>
    <t xml:space="preserve">Julie Sweet (Chair &amp; CEO) is a Named Executive Officer in Accenture’s most recent proxy — total comp figure not pulled this session; flagged for follow-up rather than estimated</t>
  </si>
  <si>
    <t xml:space="preserve">Accenture OT cybersecurity, Accenture Security Managing Director, Accenture Dragos integration</t>
  </si>
  <si>
    <t xml:space="preserve">Managing Director, OT Security; Security Consulting Senior Manager; Critical Infrastructure Security Lead</t>
  </si>
  <si>
    <t xml:space="preserve">newsroom.accenture.com, June 18 2026</t>
  </si>
  <si>
    <t xml:space="preserve">https://www.dragos.com</t>
  </si>
  <si>
    <t xml:space="preserve">https://www.dragos.com/careers/</t>
  </si>
  <si>
    <t xml:space="preserve">Cybersecurity Software (OT/ICS)</t>
  </si>
  <si>
    <t xml:space="preserve">OT/ICS threat detection, asset visibility, vulnerability management (Dragos Platform)</t>
  </si>
  <si>
    <t xml:space="preserve">511210</t>
  </si>
  <si>
    <t xml:space="preserve">Directly named; Software Publishers fits core platform business</t>
  </si>
  <si>
    <t xml:space="preserve">Hanover, Maryland, USA — Global (NA, EMEA, APAC)</t>
  </si>
  <si>
    <t xml:space="preserve">~600-670 (range across sources, 2026)</t>
  </si>
  <si>
    <t xml:space="preserve">~$208M ARR combined with runZero/NetRise as of June 2026</t>
  </si>
  <si>
    <t xml:space="preserve">Very High — ~$208M combined ARR, 53% YoY growth</t>
  </si>
  <si>
    <t xml:space="preserve">High — $4.175B Accenture majority-stake deal, CEO staying on, operational autonomy preserved</t>
  </si>
  <si>
    <t xml:space="preserve">Clearest pure-play OT cybersecurity leader on the list, now centerpiece of the largest OT security deal of 2026.</t>
  </si>
  <si>
    <t xml:space="preserve">VP / Director, OT Security Services</t>
  </si>
  <si>
    <t xml:space="preserve">Approach directly given small company size; reference the Accenture partnership and its stated growth plans</t>
  </si>
  <si>
    <t xml:space="preserve">Robert M. Lee — Co-Founder &amp; CEO (confirmed remaining CEO post-transaction)</t>
  </si>
  <si>
    <t xml:space="preserve">Skip — privately held (majority stake, not a public acquisition), does not file a 10-K or proxy statement</t>
  </si>
  <si>
    <t xml:space="preserve">Dragos OT security, Dragos VP Services, Dragos Accenture</t>
  </si>
  <si>
    <t xml:space="preserve">VP, Professional Services; Director, OT Security Services; Principal Industrial Security Consultant</t>
  </si>
  <si>
    <t xml:space="preserve">dragos.com press release, June 18 2026</t>
  </si>
  <si>
    <t xml:space="preserve">https://www.claroty.com</t>
  </si>
  <si>
    <t xml:space="preserve">https://www.claroty.com/careers</t>
  </si>
  <si>
    <t xml:space="preserve">Cybersecurity Software (Cyber-Physical Systems)</t>
  </si>
  <si>
    <t xml:space="preserve">CPS/XIoT protection spanning OT, healthcare IoMT, enterprise IoT</t>
  </si>
  <si>
    <t xml:space="preserve">New York, NY, USA — Global (Europe, APAC, LatAm)</t>
  </si>
  <si>
    <t xml:space="preserve">500-1,000 (Owler/ZoomInfo est.; PitchBook/Tracxn report 813)</t>
  </si>
  <si>
    <t xml:space="preserve">~$147.0M (ZoomInfo est.); $3B valuation as of Jan 2026 Series F</t>
  </si>
  <si>
    <t xml:space="preserve">Very High — $150M Series F at ~$3B valuation, 80% valuation growth since Mar 2024</t>
  </si>
  <si>
    <t xml:space="preserve">High — active open req found; new CRO hired in the past year</t>
  </si>
  <si>
    <t xml:space="preserve">Medium — one req surfaced incidentally, not a full dedicated check</t>
  </si>
  <si>
    <t xml:space="preserve">Well-funded, fast-growing pure-play CPS/OT leader with strong enterprise traction (24 of Fortune 100).</t>
  </si>
  <si>
    <t xml:space="preserve">VP / Director, Professional Services or Sales Engineering</t>
  </si>
  <si>
    <t xml:space="preserve">Approach directly; reference the January 2026 Series F and public-sector expansion as a relevant hook</t>
  </si>
  <si>
    <t xml:space="preserve">Yaniv Vardi — CEO, Claroty</t>
  </si>
  <si>
    <t xml:space="preserve">Skip — privately held, does not file a 10-K or proxy statement</t>
  </si>
  <si>
    <t xml:space="preserve">Claroty OT security, Claroty VP Professional Services, Claroty public sector</t>
  </si>
  <si>
    <t xml:space="preserve">VP, Industry Solutions; Director, Strategic Advisory; VP, Global Alliances</t>
  </si>
  <si>
    <t xml:space="preserve">claroty.com press release, Jan 22 2026</t>
  </si>
  <si>
    <t xml:space="preserve">Tier 2 — Additional Candidates (Basic Info Only)</t>
  </si>
  <si>
    <t xml:space="preserve">Triggered because the combined candidate pool (5 named + NAICS-discovered) exceeded 25. Sourced from efficient batch searches rather than one search per company. Copy any "Y"-marked row’s company name into the "Companies I know" field with Discovery scope set to "Just enrich these" to run it through full Tier 1 research next.</t>
  </si>
  <si>
    <t xml:space="preserve">Promote to Tier 1?</t>
  </si>
  <si>
    <t xml:space="preserve">Source</t>
  </si>
  <si>
    <t xml:space="preserve">KPMG</t>
  </si>
  <si>
    <t xml:space="preserve">https://kpmg.com</t>
  </si>
  <si>
    <t xml:space="preserve">Professional Services / Management Consulting</t>
  </si>
  <si>
    <t xml:space="preserve">Discovered via NAICS/industry search</t>
  </si>
  <si>
    <t xml:space="preserve">Amstelveen, Netherlands — Global (143 countries)</t>
  </si>
  <si>
    <t xml:space="preserve">cybermagazine.com, kpmg.com</t>
  </si>
  <si>
    <t xml:space="preserve">PwC</t>
  </si>
  <si>
    <t xml:space="preserve">https://www.pwc.com</t>
  </si>
  <si>
    <t xml:space="preserve">pwc.com/m1 (Middle East OT Cyber Lab page)</t>
  </si>
  <si>
    <t xml:space="preserve">IBM</t>
  </si>
  <si>
    <t xml:space="preserve">https://www.ibm.com</t>
  </si>
  <si>
    <t xml:space="preserve">IT Services / Technology Consulting</t>
  </si>
  <si>
    <t xml:space="preserve">Armonk, NY, USA — Global</t>
  </si>
  <si>
    <t xml:space="preserve">technologymagazine.com</t>
  </si>
  <si>
    <t xml:space="preserve">Capgemini</t>
  </si>
  <si>
    <t xml:space="preserve">https://www.capgemini.com</t>
  </si>
  <si>
    <t xml:space="preserve">IT Services / Consulting</t>
  </si>
  <si>
    <t xml:space="preserve">Paris, France — Global</t>
  </si>
  <si>
    <t xml:space="preserve">cybermagazine.com</t>
  </si>
  <si>
    <t xml:space="preserve">CGI</t>
  </si>
  <si>
    <t xml:space="preserve">https://www.cgi.com</t>
  </si>
  <si>
    <t xml:space="preserve">Montreal, Canada — Global</t>
  </si>
  <si>
    <t xml:space="preserve">isg-one.com cyber security 2025 brochure</t>
  </si>
  <si>
    <t xml:space="preserve">Atos / Eviden</t>
  </si>
  <si>
    <t xml:space="preserve">https://atos.net</t>
  </si>
  <si>
    <t xml:space="preserve">541</t>
  </si>
  <si>
    <t xml:space="preserve">Bezons, France — Global</t>
  </si>
  <si>
    <t xml:space="preserve">rocketreach.co, builtin.com</t>
  </si>
  <si>
    <t xml:space="preserve">NTT Data</t>
  </si>
  <si>
    <t xml:space="preserve">https://www.nttdata.com</t>
  </si>
  <si>
    <t xml:space="preserve">5415</t>
  </si>
  <si>
    <t xml:space="preserve">NAICS confirmed via LeadIQ</t>
  </si>
  <si>
    <t xml:space="preserve">Tokyo, Japan — Global</t>
  </si>
  <si>
    <t xml:space="preserve">leadiq.com</t>
  </si>
  <si>
    <t xml:space="preserve">Wipro</t>
  </si>
  <si>
    <t xml:space="preserve">https://www.wipro.com</t>
  </si>
  <si>
    <t xml:space="preserve">Bangalore, India — Global</t>
  </si>
  <si>
    <t xml:space="preserve">builtin.com, roadtooffer.com</t>
  </si>
  <si>
    <t xml:space="preserve">HCLTech</t>
  </si>
  <si>
    <t xml:space="preserve">https://www.hcltech.com</t>
  </si>
  <si>
    <t xml:space="preserve">Noida, India — Global</t>
  </si>
  <si>
    <t xml:space="preserve">roadtooffer.com ($13.8B FY2025 revenue)</t>
  </si>
  <si>
    <t xml:space="preserve">Infosys</t>
  </si>
  <si>
    <t xml:space="preserve">https://www.infosys.com</t>
  </si>
  <si>
    <t xml:space="preserve">roadtooffer.com ($19.3B FY2025 revenue)</t>
  </si>
  <si>
    <t xml:space="preserve">TCS (Tata Consultancy Services)</t>
  </si>
  <si>
    <t xml:space="preserve">https://www.tcs.com</t>
  </si>
  <si>
    <t xml:space="preserve">Mumbai, India — Global</t>
  </si>
  <si>
    <t xml:space="preserve">roadtooffer.com ($30.2B FY2025 revenue)</t>
  </si>
  <si>
    <t xml:space="preserve">Booz Allen Hamilton</t>
  </si>
  <si>
    <t xml:space="preserve">https://www.boozallen.com</t>
  </si>
  <si>
    <t xml:space="preserve">Management &amp; Technology Consulting</t>
  </si>
  <si>
    <t xml:space="preserve">McLean, VA, USA — primarily US federal-focused</t>
  </si>
  <si>
    <t xml:space="preserve">careers.boozallen.com</t>
  </si>
  <si>
    <t xml:space="preserve">Nozomi Networks</t>
  </si>
  <si>
    <t xml:space="preserve">https://www.nozominetworks.com</t>
  </si>
  <si>
    <t xml:space="preserve">San Francisco, CA, USA — Global</t>
  </si>
  <si>
    <t xml:space="preserve">cybersecurityintelligence.com; note: acquired by Mitsubishi Electric in 2025, operates as independent wholly-owned subsidiary</t>
  </si>
  <si>
    <t xml:space="preserve">Verve Industrial (Verve Industrial Protection)</t>
  </si>
  <si>
    <t xml:space="preserve">https://verveindustrial.com</t>
  </si>
  <si>
    <t xml:space="preserve">Paducah, KY, USA</t>
  </si>
  <si>
    <t xml:space="preserve">cbinsights.com; note: acquired by Rockwell Automation, Oct 2023 — no longer independent</t>
  </si>
  <si>
    <t xml:space="preserve">Forescout</t>
  </si>
  <si>
    <t xml:space="preserve">https://www.forescout.com</t>
  </si>
  <si>
    <t xml:space="preserve">Cybersecurity Software (Device Visibility &amp; Control)</t>
  </si>
  <si>
    <t xml:space="preserve">Secondary</t>
  </si>
  <si>
    <t xml:space="preserve">NAICS-adjacent discovery via ICS Security Market vendor list</t>
  </si>
  <si>
    <t xml:space="preserve">San Jose, CA, USA</t>
  </si>
  <si>
    <t xml:space="preserve">marketsandmarkets.com ICS Security Market report</t>
  </si>
  <si>
    <t xml:space="preserve">Radiflow</t>
  </si>
  <si>
    <t xml:space="preserve">https://radiflow.com</t>
  </si>
  <si>
    <t xml:space="preserve">Tel Aviv, Israel</t>
  </si>
  <si>
    <t xml:space="preserve">marketsandmarkets.com; barchart.com ICS Security Market report</t>
  </si>
  <si>
    <t xml:space="preserve">Xage Security</t>
  </si>
  <si>
    <t xml:space="preserve">https://xage.com</t>
  </si>
  <si>
    <t xml:space="preserve">Cybersecurity Software (Zero Trust for OT/IoT)</t>
  </si>
  <si>
    <t xml:space="preserve">Palo Alto, CA, USA</t>
  </si>
  <si>
    <t xml:space="preserve">Cyberbit</t>
  </si>
  <si>
    <t xml:space="preserve">https://www.cyberbit.com</t>
  </si>
  <si>
    <t xml:space="preserve">Cybersecurity Software (OT/ICS Detection &amp; Training)</t>
  </si>
  <si>
    <t xml:space="preserve">Ra’anana, Israel</t>
  </si>
  <si>
    <t xml:space="preserve">Belden (Hirschmann / GarrettCom / Tripwire)</t>
  </si>
  <si>
    <t xml:space="preserve">https://www.belden.com</t>
  </si>
  <si>
    <t xml:space="preserve">Industrial Networking &amp; OT Security</t>
  </si>
  <si>
    <t xml:space="preserve">335921</t>
  </si>
  <si>
    <t xml:space="preserve">Industrial networking manufacturer with dedicated OT security product brands</t>
  </si>
  <si>
    <t xml:space="preserve">St. Louis, MO, USA — Global</t>
  </si>
  <si>
    <t xml:space="preserve">barchart.com ICS Security Market report; businesswire.com</t>
  </si>
  <si>
    <t xml:space="preserve">Waterfall Security Solutions</t>
  </si>
  <si>
    <t xml:space="preserve">https://waterfall-security.com</t>
  </si>
  <si>
    <t xml:space="preserve">Cybersecurity Hardware (Unidirectional Gateways)</t>
  </si>
  <si>
    <t xml:space="preserve">Rosh HaAyin, Israel</t>
  </si>
  <si>
    <t xml:space="preserve">barchart.com ICS Security Market report</t>
  </si>
  <si>
    <t xml:space="preserve">OPSWAT</t>
  </si>
  <si>
    <t xml:space="preserve">https://www.opswat.com</t>
  </si>
  <si>
    <t xml:space="preserve">Cybersecurity Software (Critical Infrastructure Protection)</t>
  </si>
  <si>
    <t xml:space="preserve">Tampa, FL, USA</t>
  </si>
  <si>
    <t xml:space="preserve">SIGA OT Solutions</t>
  </si>
  <si>
    <t xml:space="preserve">https://sigasec.com</t>
  </si>
  <si>
    <t xml:space="preserve">Cybersecurity Hardware (OT Anomaly Detection)</t>
  </si>
  <si>
    <t xml:space="preserve">Zug, Switzerland</t>
  </si>
  <si>
    <t xml:space="preserve">Rhebo (a Landis+Gyr company)</t>
  </si>
  <si>
    <t xml:space="preserve">https://rhebo.com</t>
  </si>
  <si>
    <t xml:space="preserve">Cybersecurity Software (OT/IoT Anomaly Detection)</t>
  </si>
  <si>
    <t xml:space="preserve">Leipzig, Germany</t>
  </si>
  <si>
    <t xml:space="preserve">DXC Technology</t>
  </si>
  <si>
    <t xml:space="preserve">Not found in this pass — no fabricated data</t>
  </si>
  <si>
    <t xml:space="preserve">Ampyx Cyber / ICS Advisory Project</t>
  </si>
  <si>
    <t xml:space="preserve">Level5Cyber</t>
  </si>
  <si>
    <t xml:space="preserve">Pivot Point Security</t>
  </si>
  <si>
    <t xml:space="preserve">JFL Consulting</t>
  </si>
  <si>
    <t xml:space="preserve">1898 &amp; Co.</t>
  </si>
  <si>
    <t xml:space="preserve">AI SecurityWorks</t>
  </si>
  <si>
    <t xml:space="preserve">RED Group</t>
  </si>
  <si>
    <t xml:space="preserve">Keystone (ICS Cybersecurity)</t>
  </si>
  <si>
    <t xml:space="preserve">BBA Consultants</t>
  </si>
  <si>
    <t xml:space="preserve">Integrity360</t>
  </si>
  <si>
    <t xml:space="preserve">Ampere / local regionals (e.g., Microminder, ValueMentor, CPX in GCC)</t>
  </si>
  <si>
    <t xml:space="preserve">Job Title Used for Search</t>
  </si>
  <si>
    <t xml:space="preserve">LinkedIn Jobs Search</t>
  </si>
  <si>
    <t xml:space="preserve">Indeed Search</t>
  </si>
  <si>
    <t xml:space="preserve">Google Jobs Search</t>
  </si>
  <si>
    <t xml:space="preserve">OT Cybersecurity Managing Director</t>
  </si>
  <si>
    <t xml:space="preserve">OT Cyber Security Manager</t>
  </si>
  <si>
    <t xml:space="preserve">Managing Director, OT Security</t>
  </si>
  <si>
    <t xml:space="preserve">VP, Professional Services</t>
  </si>
  <si>
    <t xml:space="preserve">VP, Industry Solutions</t>
  </si>
  <si>
    <t xml:space="preserve">Company Name</t>
  </si>
  <si>
    <t xml:space="preserve">Event Name</t>
  </si>
  <si>
    <t xml:space="preserve">Date(s)</t>
  </si>
  <si>
    <t xml:space="preserve">Location</t>
  </si>
  <si>
    <t xml:space="preserve">Format</t>
  </si>
  <si>
    <t xml:space="preserve">Relevant To</t>
  </si>
  <si>
    <t xml:space="preserve">URL</t>
  </si>
  <si>
    <t xml:space="preserve">ICS Cybersecurity Conference (SecurityWeek)</t>
  </si>
  <si>
    <t xml:space="preserve">Oct 6-8, 2026</t>
  </si>
  <si>
    <t xml:space="preserve">Nashville, TN (W Nashville)</t>
  </si>
  <si>
    <t xml:space="preserve">In-person</t>
  </si>
  <si>
    <t xml:space="preserve">Big 4 / Global Systems Integrator; Pure-Play OT/ICS Security Vendor</t>
  </si>
  <si>
    <t xml:space="preserve">securityweek.com/ics-cyber-security-conference</t>
  </si>
  <si>
    <t xml:space="preserve">Industrial Cybersecurity Day 2026 (IIoT World)</t>
  </si>
  <si>
    <t xml:space="preserve">Oct 14, 2026</t>
  </si>
  <si>
    <t xml:space="preserve">Virtual</t>
  </si>
  <si>
    <t xml:space="preserve">iiot-world.com</t>
  </si>
  <si>
    <t xml:space="preserve">Coverage note: only 2 real, currently findable events surfaced this session within the next 6 months of Aug 10, 2026. Several other real ICS/OT security events exist annually (SANS ICS Summit, ISA OT Cybersecurity Summit, ICS/SCADA Cybersecurity Symposium) but their 2026 instances had already occurred as of this search — next-year dates were not yet published/findable.</t>
  </si>
  <si>
    <t xml:space="preserve">Recent LinkedIn Activity</t>
  </si>
  <si>
    <t xml:space="preserve">Podcast / Webcast Appearances</t>
  </si>
  <si>
    <t xml:space="preserve">Upcoming Events / Tradeshows</t>
  </si>
  <si>
    <t xml:space="preserve">Source URL(s)</t>
  </si>
  <si>
    <t xml:space="preserve">No recent public activity found (checked LinkedIn company page, podcast/webcast search, conference search — last 90 days)</t>
  </si>
  <si>
    <t xml:space="preserve">$4.175B majority-stake acquisition of Dragos, runZero, and NetRise announced June 18, 2026 — within the last 90 days as of this report</t>
  </si>
  <si>
    <t xml:space="preserve">Same Accenture transaction announcement, June 18, 2026 — Dragos-side press release also live</t>
  </si>
  <si>
    <t xml:space="preserve">dragos.com/resources/press-release/dragos-ot-cybersecurity-with-accenture</t>
  </si>
  <si>
    <t xml:space="preserve">No recent (last 90 days) public activity found — most recent verified activity (Series F funding, Jan 2026) falls outside this window</t>
  </si>
  <si>
    <t xml:space="preserve">Coverage note: as expected for this tab, coverage is uneven — 3 of 5 companies had no verifiable recent (90-day) public activity beyond what’s already captured elsewhere in this tracker. Each company was checked via (1) its own LinkedIn company page directly, (2) a podcast/webinar search, and (3) a conference/sponsor search before concluding "no recent activity found."</t>
  </si>
  <si>
    <t xml:space="preserve">Notes &amp; Assumptions</t>
  </si>
  <si>
    <t xml:space="preserve">This is a SAMPLE output — built to show what the Target Company Prompt Builder currently produces for a realistic scenario, not a live research deliverable. Every fact in the Tier 1 sheet is real and was verified via web search in the session that produced it; nothing here is fabricated, but this file will not update itself and should not be treated as current beyond August 10, 2026.</t>
  </si>
  <si>
    <t xml:space="preserve">Two-tier output: my candidate pool (5 named companies + NAICS-discovered candidates in the OT/ICS cybersecurity space) exceeded 25, which is why this workbook has both a Tier 1 (full research) and Tier 2 (basic info) sheet. Tier 1 selection used a qualification pass with a bonus for named companies, not the full rating rubric.</t>
  </si>
  <si>
    <t xml:space="preserve">Tier 2 sourcing: 23 real companies were found via 4 batch searches (roughly 5-6 companies of usable data per search on average) rather than one search per company — this is the intended cost model for Tier 2. 12 more named/expected companies in this space (mostly smaller regional or boutique firms) were not found in this pass and are marked "Not found in this pass" rather than invented.</t>
  </si>
  <si>
    <t xml:space="preserve">Verified vs. estimated: company size figures for the large firms (Deloitte, EY, Accenture) are marked "order-of-magnitude, not verified this session" — these are well-known, stable public facts but were not re-confirmed via a dedicated search this run. Revenue, growth signals, and M&amp;A activity are all sourced directly, with citations in the Source URL column.</t>
  </si>
  <si>
    <t xml:space="preserve">Compensation Benchmark and 10-K contact checks (columns 23-24) only apply to publicly traded companies — none of the 5 Tier 1 companies here file a 10-K (Deloitte, EY, and Accenture’s cyber unit are not separately public in a way that names an OT-specific officer; Dragos and Claroty are privately held), so this column is mostly "skip" for this particular sample. A public-company-heavy target list would show this column doing more work.</t>
  </si>
  <si>
    <t xml:space="preserve">Color legend: rating columns (Growth/Revenue Signal, Hiring Signal, Recent Hiring Trends, Opportunity Relevance, Opportunity Fit) are shaded on a 5-step gradient — green (High/Very High) through yellow to red (Low). Priority Score, Status, and Next Action are shaded pale yellow — those are for you to fill in, not Claude’s research.</t>
  </si>
  <si>
    <t xml:space="preserve">Rating</t>
  </si>
  <si>
    <t xml:space="preserve">Color</t>
  </si>
  <si>
    <t xml:space="preserve">Medium-High</t>
  </si>
  <si>
    <t xml:space="preserve">Medium</t>
  </si>
  <si>
    <t xml:space="preserve">Low-Medium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</si>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</sst>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name val="Arial"/>
      <family val="2"/>
    </font>
    <font>
      <b val="true"/>
      <sz val="14"/>
      <color rgb="FF1F3B57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A9D8A9"/>
        <bgColor rgb="FFC6E8C6"/>
      </patternFill>
    </fill>
    <fill>
      <patternFill patternType="solid">
        <fgColor rgb="FFC6E8C6"/>
        <bgColor rgb="FFE2EFC0"/>
      </patternFill>
    </fill>
    <fill>
      <patternFill patternType="solid">
        <fgColor rgb="FF1F3B57"/>
        <bgColor rgb="FF003366"/>
      </patternFill>
    </fill>
    <fill>
      <patternFill patternType="solid">
        <fgColor rgb="FFF7F9FB"/>
        <bgColor rgb="FFFFFFFF"/>
      </patternFill>
    </fill>
    <fill>
      <patternFill patternType="solid">
        <fgColor rgb="FFFFF2B2"/>
        <bgColor rgb="FFFDF6E3"/>
      </patternFill>
    </fill>
    <fill>
      <patternFill patternType="solid">
        <fgColor rgb="FFFDF6E3"/>
        <bgColor rgb="FFF7F9FB"/>
      </patternFill>
    </fill>
    <fill>
      <patternFill patternType="solid">
        <fgColor rgb="FF0F9B8E"/>
        <bgColor rgb="FF008080"/>
      </patternFill>
    </fill>
    <fill>
      <patternFill patternType="solid">
        <fgColor rgb="FFF0F0F0"/>
        <bgColor rgb="FFF7F9FB"/>
      </patternFill>
    </fill>
    <fill>
      <patternFill patternType="solid">
        <fgColor rgb="FFE2EFC0"/>
        <bgColor rgb="FFC6E8C6"/>
      </patternFill>
    </fill>
    <fill>
      <patternFill patternType="solid">
        <fgColor rgb="FFFBDCB8"/>
        <bgColor rgb="FFF4C7C3"/>
      </patternFill>
    </fill>
    <fill>
      <patternFill patternType="solid">
        <fgColor rgb="FFF4C7C3"/>
        <bgColor rgb="FFFBDCB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9C27E"/>
      </left>
      <right style="thin">
        <color rgb="FFD9C27E"/>
      </right>
      <top style="thin">
        <color rgb="FFD9C27E"/>
      </top>
      <bottom style="thin">
        <color rgb="FFD9C2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B57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A9D8A9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fgColor rgb="FFFFF2B2"/>
          <bgColor rgb="FF000000"/>
        </patternFill>
      </fill>
    </dxf>
    <dxf>
      <fill>
        <patternFill patternType="solid">
          <fgColor rgb="FFFDF6E3"/>
          <bgColor rgb="FF000000"/>
        </patternFill>
      </fill>
    </dxf>
    <dxf>
      <fill>
        <patternFill patternType="solid">
          <fgColor rgb="FF0F9B8E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B8E"/>
      <rgbColor rgb="FFA9D8A9"/>
      <rgbColor rgb="FF808080"/>
      <rgbColor rgb="FF9999FF"/>
      <rgbColor rgb="FF993366"/>
      <rgbColor rgb="FFFDF6E3"/>
      <rgbColor rgb="FFF0F0F0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E2EFC0"/>
      <rgbColor rgb="FFFFF2B2"/>
      <rgbColor rgb="FFC6E8C6"/>
      <rgbColor rgb="FFD9C27E"/>
      <rgbColor rgb="FFCC99FF"/>
      <rgbColor rgb="FFF4C7C3"/>
      <rgbColor rgb="FF3366FF"/>
      <rgbColor rgb="FF33CCCC"/>
      <rgbColor rgb="FF99CC00"/>
      <rgbColor rgb="FFFBDCB8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2.deloitte.com/" TargetMode="External"/><Relationship Id="rId3" Type="http://schemas.openxmlformats.org/officeDocument/2006/relationships/hyperlink" Target="https://apply.deloitte.com/" TargetMode="External"/><Relationship Id="rId4" Type="http://schemas.openxmlformats.org/officeDocument/2006/relationships/hyperlink" Target="https://www.ey.com/" TargetMode="External"/><Relationship Id="rId5" Type="http://schemas.openxmlformats.org/officeDocument/2006/relationships/hyperlink" Target="https://careers.ey.com/" TargetMode="External"/><Relationship Id="rId6" Type="http://schemas.openxmlformats.org/officeDocument/2006/relationships/hyperlink" Target="https://www.accenture.com/" TargetMode="External"/><Relationship Id="rId7" Type="http://schemas.openxmlformats.org/officeDocument/2006/relationships/hyperlink" Target="https://www.accenture.com/us-en/careers" TargetMode="External"/><Relationship Id="rId8" Type="http://schemas.openxmlformats.org/officeDocument/2006/relationships/hyperlink" Target="https://www.dragos.com/" TargetMode="External"/><Relationship Id="rId9" Type="http://schemas.openxmlformats.org/officeDocument/2006/relationships/hyperlink" Target="https://www.dragos.com/careers/" TargetMode="External"/><Relationship Id="rId10" Type="http://schemas.openxmlformats.org/officeDocument/2006/relationships/hyperlink" Target="https://www.claroty.com/" TargetMode="External"/><Relationship Id="rId11" Type="http://schemas.openxmlformats.org/officeDocument/2006/relationships/hyperlink" Target="https://www.claroty.com/careers" TargetMode="External"/><Relationship Id="rId12" Type="http://schemas.openxmlformats.org/officeDocument/2006/relationships/drawing" Target="../drawings/drawing1.xml"/><Relationship Id="rId1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pmg.com/" TargetMode="External"/><Relationship Id="rId2" Type="http://schemas.openxmlformats.org/officeDocument/2006/relationships/hyperlink" Target="https://www.pwc.com/" TargetMode="External"/><Relationship Id="rId3" Type="http://schemas.openxmlformats.org/officeDocument/2006/relationships/hyperlink" Target="https://www.ibm.com/" TargetMode="External"/><Relationship Id="rId4" Type="http://schemas.openxmlformats.org/officeDocument/2006/relationships/hyperlink" Target="https://www.capgemini.com/" TargetMode="External"/><Relationship Id="rId5" Type="http://schemas.openxmlformats.org/officeDocument/2006/relationships/hyperlink" Target="https://www.cgi.com/" TargetMode="External"/><Relationship Id="rId6" Type="http://schemas.openxmlformats.org/officeDocument/2006/relationships/hyperlink" Target="https://atos.net/" TargetMode="External"/><Relationship Id="rId7" Type="http://schemas.openxmlformats.org/officeDocument/2006/relationships/hyperlink" Target="https://www.nttdata.com/" TargetMode="External"/><Relationship Id="rId8" Type="http://schemas.openxmlformats.org/officeDocument/2006/relationships/hyperlink" Target="https://www.wipro.com/" TargetMode="External"/><Relationship Id="rId9" Type="http://schemas.openxmlformats.org/officeDocument/2006/relationships/hyperlink" Target="https://www.hcltech.com/" TargetMode="External"/><Relationship Id="rId10" Type="http://schemas.openxmlformats.org/officeDocument/2006/relationships/hyperlink" Target="https://www.infosys.com/" TargetMode="External"/><Relationship Id="rId11" Type="http://schemas.openxmlformats.org/officeDocument/2006/relationships/hyperlink" Target="https://www.tcs.com/" TargetMode="External"/><Relationship Id="rId12" Type="http://schemas.openxmlformats.org/officeDocument/2006/relationships/hyperlink" Target="https://www.boozallen.com/" TargetMode="External"/><Relationship Id="rId13" Type="http://schemas.openxmlformats.org/officeDocument/2006/relationships/hyperlink" Target="https://www.nozominetworks.com/" TargetMode="External"/><Relationship Id="rId14" Type="http://schemas.openxmlformats.org/officeDocument/2006/relationships/hyperlink" Target="https://verveindustrial.com/" TargetMode="External"/><Relationship Id="rId15" Type="http://schemas.openxmlformats.org/officeDocument/2006/relationships/hyperlink" Target="https://www.forescout.com/" TargetMode="External"/><Relationship Id="rId16" Type="http://schemas.openxmlformats.org/officeDocument/2006/relationships/hyperlink" Target="https://radiflow.com/" TargetMode="External"/><Relationship Id="rId17" Type="http://schemas.openxmlformats.org/officeDocument/2006/relationships/hyperlink" Target="https://xage.com/" TargetMode="External"/><Relationship Id="rId18" Type="http://schemas.openxmlformats.org/officeDocument/2006/relationships/hyperlink" Target="https://www.cyberbit.com/" TargetMode="External"/><Relationship Id="rId19" Type="http://schemas.openxmlformats.org/officeDocument/2006/relationships/hyperlink" Target="https://www.belden.com/" TargetMode="External"/><Relationship Id="rId20" Type="http://schemas.openxmlformats.org/officeDocument/2006/relationships/hyperlink" Target="https://waterfall-security.com/" TargetMode="External"/><Relationship Id="rId21" Type="http://schemas.openxmlformats.org/officeDocument/2006/relationships/hyperlink" Target="https://www.opswat.com/" TargetMode="External"/><Relationship Id="rId22" Type="http://schemas.openxmlformats.org/officeDocument/2006/relationships/hyperlink" Target="https://sigasec.com/" TargetMode="External"/><Relationship Id="rId23" Type="http://schemas.openxmlformats.org/officeDocument/2006/relationships/hyperlink" Target="https://rhebo.com/" TargetMode="External"/><Relationship Id="rId24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ecurityweek.com/ics-cyber-security-conference" TargetMode="External"/><Relationship Id="rId2" Type="http://schemas.openxmlformats.org/officeDocument/2006/relationships/hyperlink" Target="https://iiot-world.com/" TargetMode="External"/><Relationship Id="rId3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n">
        <v>5</v>
      </c>
      <c r="C4" s="4" t="s">
        <v>3</v>
      </c>
    </row>
    <row r="5" customFormat="false" ht="15" hidden="false" customHeight="false" outlineLevel="0" collapsed="false">
      <c r="A5" s="3" t="s">
        <v>4</v>
      </c>
      <c r="B5" s="3" t="n">
        <v>23</v>
      </c>
      <c r="C5" s="4" t="s">
        <v>3</v>
      </c>
    </row>
    <row r="6" customFormat="false" ht="15" hidden="false" customHeight="false" outlineLevel="0" collapsed="false">
      <c r="A6" s="3" t="s">
        <v>5</v>
      </c>
      <c r="B6" s="3" t="n">
        <v>12</v>
      </c>
      <c r="C6" s="4" t="s">
        <v>3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5" t="s">
        <v>7</v>
      </c>
      <c r="B9" s="6" t="n">
        <v>2</v>
      </c>
    </row>
    <row r="10" customFormat="false" ht="15" hidden="false" customHeight="false" outlineLevel="0" collapsed="false">
      <c r="A10" s="7" t="s">
        <v>8</v>
      </c>
      <c r="B10" s="6" t="n">
        <v>3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6" t="s">
        <v>10</v>
      </c>
      <c r="B13" s="6" t="n">
        <v>2</v>
      </c>
    </row>
    <row r="14" customFormat="false" ht="15" hidden="false" customHeight="false" outlineLevel="0" collapsed="false">
      <c r="A14" s="6" t="s">
        <v>11</v>
      </c>
      <c r="B14" s="6" t="n">
        <v>1</v>
      </c>
    </row>
    <row r="15" customFormat="false" ht="15" hidden="false" customHeight="false" outlineLevel="0" collapsed="false">
      <c r="A15" s="6" t="s">
        <v>12</v>
      </c>
      <c r="B15" s="6" t="n">
        <v>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</row>
    <row r="19" customFormat="false" ht="15" hidden="false" customHeight="false" outlineLevel="0" collapsed="false">
      <c r="A19" s="9" t="s">
        <v>16</v>
      </c>
      <c r="B19" s="9" t="n">
        <v>24</v>
      </c>
    </row>
    <row r="20" customFormat="false" ht="15" hidden="false" customHeight="false" outlineLevel="0" collapsed="false">
      <c r="A20" s="9" t="s">
        <v>17</v>
      </c>
      <c r="B20" s="9" t="n">
        <v>24</v>
      </c>
    </row>
    <row r="21" customFormat="false" ht="15" hidden="false" customHeight="false" outlineLevel="0" collapsed="false">
      <c r="A21" s="9" t="s">
        <v>18</v>
      </c>
      <c r="B21" s="9" t="n">
        <v>22.3</v>
      </c>
    </row>
    <row r="22" customFormat="false" ht="15" hidden="false" customHeight="false" outlineLevel="0" collapsed="false">
      <c r="A22" s="9" t="s">
        <v>19</v>
      </c>
      <c r="B22" s="9" t="n">
        <v>19.7</v>
      </c>
    </row>
    <row r="23" customFormat="false" ht="15" hidden="false" customHeight="false" outlineLevel="0" collapsed="false">
      <c r="A23" s="9" t="s">
        <v>20</v>
      </c>
      <c r="B23" s="9" t="n">
        <v>19.7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3" min="12" style="0" width="34"/>
    <col collapsed="false" customWidth="true" hidden="false" outlineLevel="0" max="14" min="14" style="0" width="32"/>
    <col collapsed="false" customWidth="true" hidden="false" outlineLevel="0" max="15" min="15" style="0" width="22"/>
    <col collapsed="false" customWidth="true" hidden="false" outlineLevel="0" max="16" min="16" style="0" width="26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19" min="19" style="0" width="34"/>
    <col collapsed="false" customWidth="true" hidden="false" outlineLevel="0" max="20" min="20" style="0" width="26"/>
    <col collapsed="false" customWidth="true" hidden="false" outlineLevel="0" max="22" min="21" style="0" width="30"/>
    <col collapsed="false" customWidth="true" hidden="false" outlineLevel="0" max="23" min="23" style="0" width="32"/>
    <col collapsed="false" customWidth="true" hidden="false" outlineLevel="0" max="24" min="24" style="0" width="30"/>
    <col collapsed="false" customWidth="true" hidden="false" outlineLevel="0" max="26" min="25" style="0" width="32"/>
    <col collapsed="false" customWidth="true" hidden="false" outlineLevel="0" max="27" min="27" style="0" width="24"/>
    <col collapsed="false" customWidth="true" hidden="false" outlineLevel="0" max="31" min="28" style="0" width="14"/>
  </cols>
  <sheetData>
    <row r="1" customFormat="false" ht="31.5" hidden="false" customHeight="true" outlineLevel="0" collapsed="false">
      <c r="A1" s="10" t="s">
        <v>14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  <c r="Y1" s="10" t="s">
        <v>44</v>
      </c>
      <c r="Z1" s="10" t="s">
        <v>45</v>
      </c>
      <c r="AA1" s="10" t="s">
        <v>46</v>
      </c>
      <c r="AB1" s="10" t="s">
        <v>47</v>
      </c>
      <c r="AC1" s="10" t="s">
        <v>48</v>
      </c>
      <c r="AD1" s="10" t="s">
        <v>49</v>
      </c>
      <c r="AE1" s="10" t="s">
        <v>50</v>
      </c>
      <c r="AF1" s="10" t="s">
        <v>51</v>
      </c>
    </row>
    <row r="2" customFormat="false" ht="46.25" hidden="false" customHeight="false" outlineLevel="0" collapsed="false">
      <c r="A2" s="11" t="s">
        <v>19</v>
      </c>
      <c r="B2" s="12" t="s">
        <v>52</v>
      </c>
      <c r="C2" s="12" t="s">
        <v>53</v>
      </c>
      <c r="D2" s="11" t="s">
        <v>54</v>
      </c>
      <c r="E2" s="11" t="s">
        <v>55</v>
      </c>
      <c r="F2" s="11" t="s">
        <v>56</v>
      </c>
      <c r="G2" s="11" t="s">
        <v>57</v>
      </c>
      <c r="H2" s="11" t="s">
        <v>58</v>
      </c>
      <c r="I2" s="11" t="s">
        <v>59</v>
      </c>
      <c r="J2" s="11" t="s">
        <v>60</v>
      </c>
      <c r="K2" s="11" t="s">
        <v>61</v>
      </c>
      <c r="L2" s="13" t="s">
        <v>62</v>
      </c>
      <c r="M2" s="13" t="s">
        <v>63</v>
      </c>
      <c r="N2" s="14" t="s">
        <v>64</v>
      </c>
      <c r="O2" s="11"/>
      <c r="P2" s="13" t="s">
        <v>8</v>
      </c>
      <c r="Q2" s="13" t="s">
        <v>8</v>
      </c>
      <c r="R2" s="11" t="s">
        <v>10</v>
      </c>
      <c r="S2" s="11" t="s">
        <v>65</v>
      </c>
      <c r="T2" s="11" t="s">
        <v>66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72</v>
      </c>
      <c r="AA2" s="11" t="s">
        <v>73</v>
      </c>
      <c r="AB2" s="15" t="n">
        <v>19.7</v>
      </c>
      <c r="AC2" s="16"/>
      <c r="AD2" s="16"/>
      <c r="AE2" s="16"/>
      <c r="AF2" s="11" t="s">
        <v>74</v>
      </c>
    </row>
    <row r="3" customFormat="false" ht="46.25" hidden="false" customHeight="false" outlineLevel="0" collapsed="false">
      <c r="A3" s="17" t="s">
        <v>20</v>
      </c>
      <c r="B3" s="18" t="s">
        <v>75</v>
      </c>
      <c r="C3" s="18" t="s">
        <v>76</v>
      </c>
      <c r="D3" s="17" t="s">
        <v>54</v>
      </c>
      <c r="E3" s="17" t="s">
        <v>77</v>
      </c>
      <c r="F3" s="17" t="s">
        <v>56</v>
      </c>
      <c r="G3" s="17" t="s">
        <v>57</v>
      </c>
      <c r="H3" s="17" t="s">
        <v>58</v>
      </c>
      <c r="I3" s="17" t="s">
        <v>78</v>
      </c>
      <c r="J3" s="17" t="s">
        <v>79</v>
      </c>
      <c r="K3" s="17" t="s">
        <v>80</v>
      </c>
      <c r="L3" s="14" t="s">
        <v>81</v>
      </c>
      <c r="M3" s="13" t="s">
        <v>82</v>
      </c>
      <c r="N3" s="13" t="s">
        <v>83</v>
      </c>
      <c r="O3" s="17"/>
      <c r="P3" s="13" t="s">
        <v>8</v>
      </c>
      <c r="Q3" s="13" t="s">
        <v>8</v>
      </c>
      <c r="R3" s="17" t="s">
        <v>10</v>
      </c>
      <c r="S3" s="17" t="s">
        <v>84</v>
      </c>
      <c r="T3" s="17" t="s">
        <v>85</v>
      </c>
      <c r="U3" s="17" t="s">
        <v>67</v>
      </c>
      <c r="V3" s="17" t="s">
        <v>86</v>
      </c>
      <c r="W3" s="17" t="s">
        <v>87</v>
      </c>
      <c r="X3" s="17" t="s">
        <v>70</v>
      </c>
      <c r="Y3" s="17" t="s">
        <v>88</v>
      </c>
      <c r="Z3" s="17" t="s">
        <v>89</v>
      </c>
      <c r="AA3" s="17" t="s">
        <v>90</v>
      </c>
      <c r="AB3" s="15" t="n">
        <v>19.7</v>
      </c>
      <c r="AC3" s="16"/>
      <c r="AD3" s="16"/>
      <c r="AE3" s="16"/>
      <c r="AF3" s="17" t="s">
        <v>74</v>
      </c>
    </row>
    <row r="4" customFormat="false" ht="68.65" hidden="false" customHeight="false" outlineLevel="0" collapsed="false">
      <c r="A4" s="11" t="s">
        <v>18</v>
      </c>
      <c r="B4" s="12" t="s">
        <v>91</v>
      </c>
      <c r="C4" s="12" t="s">
        <v>92</v>
      </c>
      <c r="D4" s="11" t="s">
        <v>93</v>
      </c>
      <c r="E4" s="11" t="s">
        <v>94</v>
      </c>
      <c r="F4" s="11" t="s">
        <v>95</v>
      </c>
      <c r="G4" s="11" t="s">
        <v>57</v>
      </c>
      <c r="H4" s="11" t="s">
        <v>96</v>
      </c>
      <c r="I4" s="11" t="s">
        <v>97</v>
      </c>
      <c r="J4" s="11" t="s">
        <v>98</v>
      </c>
      <c r="K4" s="11" t="s">
        <v>99</v>
      </c>
      <c r="L4" s="19" t="s">
        <v>100</v>
      </c>
      <c r="M4" s="19" t="s">
        <v>101</v>
      </c>
      <c r="N4" s="14" t="s">
        <v>64</v>
      </c>
      <c r="O4" s="11"/>
      <c r="P4" s="13" t="s">
        <v>8</v>
      </c>
      <c r="Q4" s="19" t="s">
        <v>7</v>
      </c>
      <c r="R4" s="11" t="s">
        <v>102</v>
      </c>
      <c r="S4" s="11" t="s">
        <v>103</v>
      </c>
      <c r="T4" s="11" t="s">
        <v>104</v>
      </c>
      <c r="U4" s="11" t="s">
        <v>67</v>
      </c>
      <c r="V4" s="11" t="s">
        <v>105</v>
      </c>
      <c r="W4" s="11" t="s">
        <v>106</v>
      </c>
      <c r="X4" s="11" t="s">
        <v>107</v>
      </c>
      <c r="Y4" s="11" t="s">
        <v>108</v>
      </c>
      <c r="Z4" s="11" t="s">
        <v>109</v>
      </c>
      <c r="AA4" s="11" t="s">
        <v>110</v>
      </c>
      <c r="AB4" s="20" t="n">
        <v>22.3</v>
      </c>
      <c r="AC4" s="16"/>
      <c r="AD4" s="16"/>
      <c r="AE4" s="16"/>
      <c r="AF4" s="11" t="s">
        <v>74</v>
      </c>
    </row>
    <row r="5" customFormat="false" ht="46.25" hidden="false" customHeight="false" outlineLevel="0" collapsed="false">
      <c r="A5" s="17" t="s">
        <v>16</v>
      </c>
      <c r="B5" s="18" t="s">
        <v>111</v>
      </c>
      <c r="C5" s="18" t="s">
        <v>112</v>
      </c>
      <c r="D5" s="17" t="s">
        <v>113</v>
      </c>
      <c r="E5" s="17" t="s">
        <v>114</v>
      </c>
      <c r="F5" s="17" t="s">
        <v>115</v>
      </c>
      <c r="G5" s="17" t="s">
        <v>57</v>
      </c>
      <c r="H5" s="17" t="s">
        <v>116</v>
      </c>
      <c r="I5" s="17" t="s">
        <v>117</v>
      </c>
      <c r="J5" s="17" t="s">
        <v>118</v>
      </c>
      <c r="K5" s="17" t="s">
        <v>119</v>
      </c>
      <c r="L5" s="19" t="s">
        <v>120</v>
      </c>
      <c r="M5" s="13" t="s">
        <v>121</v>
      </c>
      <c r="N5" s="14" t="s">
        <v>64</v>
      </c>
      <c r="O5" s="17"/>
      <c r="P5" s="19" t="s">
        <v>7</v>
      </c>
      <c r="Q5" s="19" t="s">
        <v>7</v>
      </c>
      <c r="R5" s="17" t="s">
        <v>12</v>
      </c>
      <c r="S5" s="17" t="s">
        <v>122</v>
      </c>
      <c r="T5" s="17" t="s">
        <v>123</v>
      </c>
      <c r="U5" s="17" t="s">
        <v>67</v>
      </c>
      <c r="V5" s="17" t="s">
        <v>124</v>
      </c>
      <c r="W5" s="17" t="s">
        <v>125</v>
      </c>
      <c r="X5" s="17" t="s">
        <v>126</v>
      </c>
      <c r="Y5" s="17" t="s">
        <v>127</v>
      </c>
      <c r="Z5" s="17" t="s">
        <v>128</v>
      </c>
      <c r="AA5" s="17" t="s">
        <v>129</v>
      </c>
      <c r="AB5" s="20" t="n">
        <v>24</v>
      </c>
      <c r="AC5" s="16"/>
      <c r="AD5" s="16"/>
      <c r="AE5" s="16"/>
      <c r="AF5" s="17" t="s">
        <v>74</v>
      </c>
    </row>
    <row r="6" customFormat="false" ht="35.05" hidden="false" customHeight="false" outlineLevel="0" collapsed="false">
      <c r="A6" s="11" t="s">
        <v>17</v>
      </c>
      <c r="B6" s="12" t="s">
        <v>130</v>
      </c>
      <c r="C6" s="12" t="s">
        <v>131</v>
      </c>
      <c r="D6" s="11" t="s">
        <v>132</v>
      </c>
      <c r="E6" s="11" t="s">
        <v>133</v>
      </c>
      <c r="F6" s="11" t="s">
        <v>115</v>
      </c>
      <c r="G6" s="11" t="s">
        <v>57</v>
      </c>
      <c r="H6" s="11" t="s">
        <v>116</v>
      </c>
      <c r="I6" s="11" t="s">
        <v>134</v>
      </c>
      <c r="J6" s="11" t="s">
        <v>135</v>
      </c>
      <c r="K6" s="11" t="s">
        <v>136</v>
      </c>
      <c r="L6" s="19" t="s">
        <v>137</v>
      </c>
      <c r="M6" s="13" t="s">
        <v>138</v>
      </c>
      <c r="N6" s="14" t="s">
        <v>139</v>
      </c>
      <c r="O6" s="11"/>
      <c r="P6" s="19" t="s">
        <v>7</v>
      </c>
      <c r="Q6" s="19" t="s">
        <v>7</v>
      </c>
      <c r="R6" s="11" t="s">
        <v>12</v>
      </c>
      <c r="S6" s="11" t="s">
        <v>140</v>
      </c>
      <c r="T6" s="11" t="s">
        <v>141</v>
      </c>
      <c r="U6" s="11" t="s">
        <v>67</v>
      </c>
      <c r="V6" s="11" t="s">
        <v>142</v>
      </c>
      <c r="W6" s="11" t="s">
        <v>143</v>
      </c>
      <c r="X6" s="11" t="s">
        <v>144</v>
      </c>
      <c r="Y6" s="11" t="s">
        <v>145</v>
      </c>
      <c r="Z6" s="11" t="s">
        <v>146</v>
      </c>
      <c r="AA6" s="11" t="s">
        <v>147</v>
      </c>
      <c r="AB6" s="20" t="n">
        <v>24</v>
      </c>
      <c r="AC6" s="16"/>
      <c r="AD6" s="16"/>
      <c r="AE6" s="16"/>
      <c r="AF6" s="11" t="s">
        <v>74</v>
      </c>
    </row>
  </sheetData>
  <autoFilter ref="A1:AF6"/>
  <hyperlinks>
    <hyperlink ref="B2" r:id="rId2" display="https://www2.deloitte.com"/>
    <hyperlink ref="C2" r:id="rId3" display="https://apply.deloitte.com"/>
    <hyperlink ref="B3" r:id="rId4" display="https://www.ey.com"/>
    <hyperlink ref="C3" r:id="rId5" display="https://careers.ey.com"/>
    <hyperlink ref="B4" r:id="rId6" display="https://www.accenture.com"/>
    <hyperlink ref="C4" r:id="rId7" display="https://www.accenture.com/us-en/careers"/>
    <hyperlink ref="B5" r:id="rId8" display="https://www.dragos.com"/>
    <hyperlink ref="C5" r:id="rId9" display="https://www.dragos.com/careers/"/>
    <hyperlink ref="B6" r:id="rId10" display="https://www.claroty.com"/>
    <hyperlink ref="C6" r:id="rId11" display="https://www.claroty.com/caree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21" t="s">
        <v>148</v>
      </c>
    </row>
    <row r="2" customFormat="false" ht="15" hidden="false" customHeight="false" outlineLevel="0" collapsed="false">
      <c r="A2" s="2" t="s">
        <v>149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22" t="s">
        <v>14</v>
      </c>
      <c r="B4" s="22" t="s">
        <v>21</v>
      </c>
      <c r="C4" s="22" t="s">
        <v>23</v>
      </c>
      <c r="D4" s="22" t="s">
        <v>25</v>
      </c>
      <c r="E4" s="22" t="s">
        <v>26</v>
      </c>
      <c r="F4" s="22" t="s">
        <v>27</v>
      </c>
      <c r="G4" s="22" t="s">
        <v>28</v>
      </c>
      <c r="H4" s="22" t="s">
        <v>150</v>
      </c>
      <c r="I4" s="22" t="s">
        <v>151</v>
      </c>
    </row>
    <row r="5" customFormat="false" ht="23.85" hidden="false" customHeight="false" outlineLevel="0" collapsed="false">
      <c r="A5" s="17" t="s">
        <v>152</v>
      </c>
      <c r="B5" s="18" t="s">
        <v>153</v>
      </c>
      <c r="C5" s="17" t="s">
        <v>154</v>
      </c>
      <c r="D5" s="17" t="s">
        <v>56</v>
      </c>
      <c r="E5" s="17" t="s">
        <v>57</v>
      </c>
      <c r="F5" s="17" t="s">
        <v>155</v>
      </c>
      <c r="G5" s="17" t="s">
        <v>156</v>
      </c>
      <c r="H5" s="16"/>
      <c r="I5" s="17" t="s">
        <v>157</v>
      </c>
    </row>
    <row r="6" customFormat="false" ht="23.85" hidden="false" customHeight="false" outlineLevel="0" collapsed="false">
      <c r="A6" s="11" t="s">
        <v>158</v>
      </c>
      <c r="B6" s="12" t="s">
        <v>159</v>
      </c>
      <c r="C6" s="11" t="s">
        <v>154</v>
      </c>
      <c r="D6" s="11" t="s">
        <v>56</v>
      </c>
      <c r="E6" s="11" t="s">
        <v>57</v>
      </c>
      <c r="F6" s="11" t="s">
        <v>155</v>
      </c>
      <c r="G6" s="11" t="s">
        <v>78</v>
      </c>
      <c r="H6" s="16"/>
      <c r="I6" s="11" t="s">
        <v>160</v>
      </c>
    </row>
    <row r="7" customFormat="false" ht="15" hidden="false" customHeight="false" outlineLevel="0" collapsed="false">
      <c r="A7" s="17" t="s">
        <v>161</v>
      </c>
      <c r="B7" s="18" t="s">
        <v>162</v>
      </c>
      <c r="C7" s="17" t="s">
        <v>163</v>
      </c>
      <c r="D7" s="17" t="s">
        <v>95</v>
      </c>
      <c r="E7" s="17" t="s">
        <v>57</v>
      </c>
      <c r="F7" s="17" t="s">
        <v>155</v>
      </c>
      <c r="G7" s="17" t="s">
        <v>164</v>
      </c>
      <c r="H7" s="16"/>
      <c r="I7" s="17" t="s">
        <v>165</v>
      </c>
    </row>
    <row r="8" customFormat="false" ht="15" hidden="false" customHeight="false" outlineLevel="0" collapsed="false">
      <c r="A8" s="11" t="s">
        <v>166</v>
      </c>
      <c r="B8" s="12" t="s">
        <v>167</v>
      </c>
      <c r="C8" s="11" t="s">
        <v>168</v>
      </c>
      <c r="D8" s="11" t="s">
        <v>95</v>
      </c>
      <c r="E8" s="11" t="s">
        <v>57</v>
      </c>
      <c r="F8" s="11" t="s">
        <v>155</v>
      </c>
      <c r="G8" s="11" t="s">
        <v>169</v>
      </c>
      <c r="H8" s="16"/>
      <c r="I8" s="11" t="s">
        <v>170</v>
      </c>
    </row>
    <row r="9" customFormat="false" ht="15" hidden="false" customHeight="false" outlineLevel="0" collapsed="false">
      <c r="A9" s="17" t="s">
        <v>171</v>
      </c>
      <c r="B9" s="18" t="s">
        <v>172</v>
      </c>
      <c r="C9" s="17" t="s">
        <v>168</v>
      </c>
      <c r="D9" s="17" t="s">
        <v>95</v>
      </c>
      <c r="E9" s="17" t="s">
        <v>57</v>
      </c>
      <c r="F9" s="17" t="s">
        <v>155</v>
      </c>
      <c r="G9" s="17" t="s">
        <v>173</v>
      </c>
      <c r="H9" s="16"/>
      <c r="I9" s="17" t="s">
        <v>174</v>
      </c>
    </row>
    <row r="10" customFormat="false" ht="15" hidden="false" customHeight="false" outlineLevel="0" collapsed="false">
      <c r="A10" s="11" t="s">
        <v>175</v>
      </c>
      <c r="B10" s="12" t="s">
        <v>176</v>
      </c>
      <c r="C10" s="11" t="s">
        <v>168</v>
      </c>
      <c r="D10" s="11" t="s">
        <v>177</v>
      </c>
      <c r="E10" s="11" t="s">
        <v>57</v>
      </c>
      <c r="F10" s="11" t="s">
        <v>155</v>
      </c>
      <c r="G10" s="11" t="s">
        <v>178</v>
      </c>
      <c r="H10" s="16"/>
      <c r="I10" s="11" t="s">
        <v>179</v>
      </c>
    </row>
    <row r="11" customFormat="false" ht="15" hidden="false" customHeight="false" outlineLevel="0" collapsed="false">
      <c r="A11" s="17" t="s">
        <v>180</v>
      </c>
      <c r="B11" s="18" t="s">
        <v>181</v>
      </c>
      <c r="C11" s="17" t="s">
        <v>168</v>
      </c>
      <c r="D11" s="17" t="s">
        <v>182</v>
      </c>
      <c r="E11" s="17" t="s">
        <v>57</v>
      </c>
      <c r="F11" s="17" t="s">
        <v>183</v>
      </c>
      <c r="G11" s="17" t="s">
        <v>184</v>
      </c>
      <c r="H11" s="16"/>
      <c r="I11" s="17" t="s">
        <v>185</v>
      </c>
    </row>
    <row r="12" customFormat="false" ht="15" hidden="false" customHeight="false" outlineLevel="0" collapsed="false">
      <c r="A12" s="11" t="s">
        <v>186</v>
      </c>
      <c r="B12" s="12" t="s">
        <v>187</v>
      </c>
      <c r="C12" s="11" t="s">
        <v>168</v>
      </c>
      <c r="D12" s="11" t="s">
        <v>95</v>
      </c>
      <c r="E12" s="11" t="s">
        <v>57</v>
      </c>
      <c r="F12" s="11" t="s">
        <v>155</v>
      </c>
      <c r="G12" s="11" t="s">
        <v>188</v>
      </c>
      <c r="H12" s="16"/>
      <c r="I12" s="11" t="s">
        <v>189</v>
      </c>
    </row>
    <row r="13" customFormat="false" ht="15" hidden="false" customHeight="false" outlineLevel="0" collapsed="false">
      <c r="A13" s="17" t="s">
        <v>190</v>
      </c>
      <c r="B13" s="18" t="s">
        <v>191</v>
      </c>
      <c r="C13" s="17" t="s">
        <v>168</v>
      </c>
      <c r="D13" s="17" t="s">
        <v>95</v>
      </c>
      <c r="E13" s="17" t="s">
        <v>57</v>
      </c>
      <c r="F13" s="17" t="s">
        <v>155</v>
      </c>
      <c r="G13" s="17" t="s">
        <v>192</v>
      </c>
      <c r="H13" s="16"/>
      <c r="I13" s="17" t="s">
        <v>193</v>
      </c>
    </row>
    <row r="14" customFormat="false" ht="15" hidden="false" customHeight="false" outlineLevel="0" collapsed="false">
      <c r="A14" s="11" t="s">
        <v>194</v>
      </c>
      <c r="B14" s="12" t="s">
        <v>195</v>
      </c>
      <c r="C14" s="11" t="s">
        <v>168</v>
      </c>
      <c r="D14" s="11" t="s">
        <v>95</v>
      </c>
      <c r="E14" s="11" t="s">
        <v>57</v>
      </c>
      <c r="F14" s="11" t="s">
        <v>155</v>
      </c>
      <c r="G14" s="11" t="s">
        <v>188</v>
      </c>
      <c r="H14" s="16"/>
      <c r="I14" s="11" t="s">
        <v>196</v>
      </c>
    </row>
    <row r="15" customFormat="false" ht="15" hidden="false" customHeight="false" outlineLevel="0" collapsed="false">
      <c r="A15" s="17" t="s">
        <v>197</v>
      </c>
      <c r="B15" s="18" t="s">
        <v>198</v>
      </c>
      <c r="C15" s="17" t="s">
        <v>168</v>
      </c>
      <c r="D15" s="17" t="s">
        <v>95</v>
      </c>
      <c r="E15" s="17" t="s">
        <v>57</v>
      </c>
      <c r="F15" s="17" t="s">
        <v>155</v>
      </c>
      <c r="G15" s="17" t="s">
        <v>199</v>
      </c>
      <c r="H15" s="16"/>
      <c r="I15" s="17" t="s">
        <v>200</v>
      </c>
    </row>
    <row r="16" customFormat="false" ht="23.85" hidden="false" customHeight="false" outlineLevel="0" collapsed="false">
      <c r="A16" s="11" t="s">
        <v>201</v>
      </c>
      <c r="B16" s="12" t="s">
        <v>202</v>
      </c>
      <c r="C16" s="11" t="s">
        <v>203</v>
      </c>
      <c r="D16" s="11" t="s">
        <v>56</v>
      </c>
      <c r="E16" s="11" t="s">
        <v>57</v>
      </c>
      <c r="F16" s="11" t="s">
        <v>155</v>
      </c>
      <c r="G16" s="11" t="s">
        <v>204</v>
      </c>
      <c r="H16" s="16"/>
      <c r="I16" s="11" t="s">
        <v>205</v>
      </c>
    </row>
    <row r="17" customFormat="false" ht="35.05" hidden="false" customHeight="false" outlineLevel="0" collapsed="false">
      <c r="A17" s="17" t="s">
        <v>206</v>
      </c>
      <c r="B17" s="18" t="s">
        <v>207</v>
      </c>
      <c r="C17" s="17" t="s">
        <v>113</v>
      </c>
      <c r="D17" s="17" t="s">
        <v>115</v>
      </c>
      <c r="E17" s="17" t="s">
        <v>57</v>
      </c>
      <c r="F17" s="17" t="s">
        <v>155</v>
      </c>
      <c r="G17" s="17" t="s">
        <v>208</v>
      </c>
      <c r="H17" s="16"/>
      <c r="I17" s="17" t="s">
        <v>209</v>
      </c>
    </row>
    <row r="18" customFormat="false" ht="23.85" hidden="false" customHeight="false" outlineLevel="0" collapsed="false">
      <c r="A18" s="11" t="s">
        <v>210</v>
      </c>
      <c r="B18" s="12" t="s">
        <v>211</v>
      </c>
      <c r="C18" s="11" t="s">
        <v>113</v>
      </c>
      <c r="D18" s="11" t="s">
        <v>115</v>
      </c>
      <c r="E18" s="11" t="s">
        <v>57</v>
      </c>
      <c r="F18" s="11" t="s">
        <v>155</v>
      </c>
      <c r="G18" s="11" t="s">
        <v>212</v>
      </c>
      <c r="H18" s="16"/>
      <c r="I18" s="11" t="s">
        <v>213</v>
      </c>
    </row>
    <row r="19" customFormat="false" ht="23.85" hidden="false" customHeight="false" outlineLevel="0" collapsed="false">
      <c r="A19" s="17" t="s">
        <v>214</v>
      </c>
      <c r="B19" s="18" t="s">
        <v>215</v>
      </c>
      <c r="C19" s="17" t="s">
        <v>216</v>
      </c>
      <c r="D19" s="17" t="s">
        <v>115</v>
      </c>
      <c r="E19" s="17" t="s">
        <v>217</v>
      </c>
      <c r="F19" s="17" t="s">
        <v>218</v>
      </c>
      <c r="G19" s="17" t="s">
        <v>219</v>
      </c>
      <c r="H19" s="16"/>
      <c r="I19" s="17" t="s">
        <v>220</v>
      </c>
    </row>
    <row r="20" customFormat="false" ht="23.85" hidden="false" customHeight="false" outlineLevel="0" collapsed="false">
      <c r="A20" s="11" t="s">
        <v>221</v>
      </c>
      <c r="B20" s="12" t="s">
        <v>222</v>
      </c>
      <c r="C20" s="11" t="s">
        <v>113</v>
      </c>
      <c r="D20" s="11" t="s">
        <v>115</v>
      </c>
      <c r="E20" s="11" t="s">
        <v>217</v>
      </c>
      <c r="F20" s="11" t="s">
        <v>218</v>
      </c>
      <c r="G20" s="11" t="s">
        <v>223</v>
      </c>
      <c r="H20" s="16"/>
      <c r="I20" s="11" t="s">
        <v>224</v>
      </c>
    </row>
    <row r="21" customFormat="false" ht="23.85" hidden="false" customHeight="false" outlineLevel="0" collapsed="false">
      <c r="A21" s="17" t="s">
        <v>225</v>
      </c>
      <c r="B21" s="18" t="s">
        <v>226</v>
      </c>
      <c r="C21" s="17" t="s">
        <v>227</v>
      </c>
      <c r="D21" s="17" t="s">
        <v>115</v>
      </c>
      <c r="E21" s="17" t="s">
        <v>217</v>
      </c>
      <c r="F21" s="17" t="s">
        <v>218</v>
      </c>
      <c r="G21" s="17" t="s">
        <v>228</v>
      </c>
      <c r="H21" s="16"/>
      <c r="I21" s="17" t="s">
        <v>224</v>
      </c>
    </row>
    <row r="22" customFormat="false" ht="23.85" hidden="false" customHeight="false" outlineLevel="0" collapsed="false">
      <c r="A22" s="11" t="s">
        <v>229</v>
      </c>
      <c r="B22" s="12" t="s">
        <v>230</v>
      </c>
      <c r="C22" s="11" t="s">
        <v>231</v>
      </c>
      <c r="D22" s="11" t="s">
        <v>115</v>
      </c>
      <c r="E22" s="11" t="s">
        <v>217</v>
      </c>
      <c r="F22" s="11" t="s">
        <v>218</v>
      </c>
      <c r="G22" s="11" t="s">
        <v>232</v>
      </c>
      <c r="H22" s="16"/>
      <c r="I22" s="11" t="s">
        <v>224</v>
      </c>
    </row>
    <row r="23" customFormat="false" ht="23.85" hidden="false" customHeight="false" outlineLevel="0" collapsed="false">
      <c r="A23" s="17" t="s">
        <v>233</v>
      </c>
      <c r="B23" s="18" t="s">
        <v>234</v>
      </c>
      <c r="C23" s="17" t="s">
        <v>235</v>
      </c>
      <c r="D23" s="17" t="s">
        <v>236</v>
      </c>
      <c r="E23" s="17" t="s">
        <v>217</v>
      </c>
      <c r="F23" s="17" t="s">
        <v>237</v>
      </c>
      <c r="G23" s="17" t="s">
        <v>238</v>
      </c>
      <c r="H23" s="16"/>
      <c r="I23" s="17" t="s">
        <v>239</v>
      </c>
    </row>
    <row r="24" customFormat="false" ht="23.85" hidden="false" customHeight="false" outlineLevel="0" collapsed="false">
      <c r="A24" s="11" t="s">
        <v>240</v>
      </c>
      <c r="B24" s="12" t="s">
        <v>241</v>
      </c>
      <c r="C24" s="11" t="s">
        <v>242</v>
      </c>
      <c r="D24" s="11" t="s">
        <v>115</v>
      </c>
      <c r="E24" s="11" t="s">
        <v>217</v>
      </c>
      <c r="F24" s="11" t="s">
        <v>218</v>
      </c>
      <c r="G24" s="11" t="s">
        <v>243</v>
      </c>
      <c r="H24" s="16"/>
      <c r="I24" s="11" t="s">
        <v>244</v>
      </c>
    </row>
    <row r="25" customFormat="false" ht="23.85" hidden="false" customHeight="false" outlineLevel="0" collapsed="false">
      <c r="A25" s="17" t="s">
        <v>245</v>
      </c>
      <c r="B25" s="18" t="s">
        <v>246</v>
      </c>
      <c r="C25" s="17" t="s">
        <v>247</v>
      </c>
      <c r="D25" s="17" t="s">
        <v>115</v>
      </c>
      <c r="E25" s="17" t="s">
        <v>217</v>
      </c>
      <c r="F25" s="17" t="s">
        <v>218</v>
      </c>
      <c r="G25" s="17" t="s">
        <v>248</v>
      </c>
      <c r="H25" s="16"/>
      <c r="I25" s="17" t="s">
        <v>244</v>
      </c>
    </row>
    <row r="26" customFormat="false" ht="23.85" hidden="false" customHeight="false" outlineLevel="0" collapsed="false">
      <c r="A26" s="11" t="s">
        <v>249</v>
      </c>
      <c r="B26" s="12" t="s">
        <v>250</v>
      </c>
      <c r="C26" s="11" t="s">
        <v>251</v>
      </c>
      <c r="D26" s="11" t="s">
        <v>115</v>
      </c>
      <c r="E26" s="11" t="s">
        <v>217</v>
      </c>
      <c r="F26" s="11" t="s">
        <v>218</v>
      </c>
      <c r="G26" s="11" t="s">
        <v>252</v>
      </c>
      <c r="H26" s="16"/>
      <c r="I26" s="11" t="s">
        <v>244</v>
      </c>
    </row>
    <row r="27" customFormat="false" ht="23.85" hidden="false" customHeight="false" outlineLevel="0" collapsed="false">
      <c r="A27" s="17" t="s">
        <v>253</v>
      </c>
      <c r="B27" s="18" t="s">
        <v>254</v>
      </c>
      <c r="C27" s="17" t="s">
        <v>255</v>
      </c>
      <c r="D27" s="17" t="s">
        <v>115</v>
      </c>
      <c r="E27" s="17" t="s">
        <v>217</v>
      </c>
      <c r="F27" s="17" t="s">
        <v>218</v>
      </c>
      <c r="G27" s="17" t="s">
        <v>256</v>
      </c>
      <c r="H27" s="16"/>
      <c r="I27" s="17" t="s">
        <v>244</v>
      </c>
    </row>
    <row r="28" customFormat="false" ht="15" hidden="false" customHeight="false" outlineLevel="0" collapsed="false">
      <c r="A28" s="23" t="s">
        <v>257</v>
      </c>
      <c r="B28" s="24"/>
      <c r="C28" s="24"/>
      <c r="D28" s="24"/>
      <c r="E28" s="24"/>
      <c r="F28" s="24"/>
      <c r="G28" s="24"/>
      <c r="H28" s="24"/>
      <c r="I28" s="25" t="s">
        <v>258</v>
      </c>
    </row>
    <row r="29" customFormat="false" ht="15" hidden="false" customHeight="false" outlineLevel="0" collapsed="false">
      <c r="A29" s="23" t="s">
        <v>259</v>
      </c>
      <c r="B29" s="24"/>
      <c r="C29" s="24"/>
      <c r="D29" s="24"/>
      <c r="E29" s="24"/>
      <c r="F29" s="24"/>
      <c r="G29" s="24"/>
      <c r="H29" s="24"/>
      <c r="I29" s="25" t="s">
        <v>258</v>
      </c>
    </row>
    <row r="30" customFormat="false" ht="15" hidden="false" customHeight="false" outlineLevel="0" collapsed="false">
      <c r="A30" s="23" t="s">
        <v>260</v>
      </c>
      <c r="B30" s="24"/>
      <c r="C30" s="24"/>
      <c r="D30" s="24"/>
      <c r="E30" s="24"/>
      <c r="F30" s="24"/>
      <c r="G30" s="24"/>
      <c r="H30" s="24"/>
      <c r="I30" s="25" t="s">
        <v>258</v>
      </c>
    </row>
    <row r="31" customFormat="false" ht="15" hidden="false" customHeight="false" outlineLevel="0" collapsed="false">
      <c r="A31" s="23" t="s">
        <v>261</v>
      </c>
      <c r="B31" s="24"/>
      <c r="C31" s="24"/>
      <c r="D31" s="24"/>
      <c r="E31" s="24"/>
      <c r="F31" s="24"/>
      <c r="G31" s="24"/>
      <c r="H31" s="24"/>
      <c r="I31" s="25" t="s">
        <v>258</v>
      </c>
    </row>
    <row r="32" customFormat="false" ht="15" hidden="false" customHeight="false" outlineLevel="0" collapsed="false">
      <c r="A32" s="23" t="s">
        <v>262</v>
      </c>
      <c r="B32" s="24"/>
      <c r="C32" s="24"/>
      <c r="D32" s="24"/>
      <c r="E32" s="24"/>
      <c r="F32" s="24"/>
      <c r="G32" s="24"/>
      <c r="H32" s="24"/>
      <c r="I32" s="25" t="s">
        <v>258</v>
      </c>
    </row>
    <row r="33" customFormat="false" ht="15" hidden="false" customHeight="false" outlineLevel="0" collapsed="false">
      <c r="A33" s="23" t="s">
        <v>263</v>
      </c>
      <c r="B33" s="24"/>
      <c r="C33" s="24"/>
      <c r="D33" s="24"/>
      <c r="E33" s="24"/>
      <c r="F33" s="24"/>
      <c r="G33" s="24"/>
      <c r="H33" s="24"/>
      <c r="I33" s="25" t="s">
        <v>258</v>
      </c>
    </row>
    <row r="34" customFormat="false" ht="15" hidden="false" customHeight="false" outlineLevel="0" collapsed="false">
      <c r="A34" s="23" t="s">
        <v>264</v>
      </c>
      <c r="B34" s="24"/>
      <c r="C34" s="24"/>
      <c r="D34" s="24"/>
      <c r="E34" s="24"/>
      <c r="F34" s="24"/>
      <c r="G34" s="24"/>
      <c r="H34" s="24"/>
      <c r="I34" s="25" t="s">
        <v>258</v>
      </c>
    </row>
    <row r="35" customFormat="false" ht="15" hidden="false" customHeight="false" outlineLevel="0" collapsed="false">
      <c r="A35" s="23" t="s">
        <v>265</v>
      </c>
      <c r="B35" s="24"/>
      <c r="C35" s="24"/>
      <c r="D35" s="24"/>
      <c r="E35" s="24"/>
      <c r="F35" s="24"/>
      <c r="G35" s="24"/>
      <c r="H35" s="24"/>
      <c r="I35" s="25" t="s">
        <v>258</v>
      </c>
    </row>
    <row r="36" customFormat="false" ht="15" hidden="false" customHeight="false" outlineLevel="0" collapsed="false">
      <c r="A36" s="23" t="s">
        <v>266</v>
      </c>
      <c r="B36" s="24"/>
      <c r="C36" s="24"/>
      <c r="D36" s="24"/>
      <c r="E36" s="24"/>
      <c r="F36" s="24"/>
      <c r="G36" s="24"/>
      <c r="H36" s="24"/>
      <c r="I36" s="25" t="s">
        <v>258</v>
      </c>
    </row>
    <row r="37" customFormat="false" ht="15" hidden="false" customHeight="false" outlineLevel="0" collapsed="false">
      <c r="A37" s="23" t="s">
        <v>267</v>
      </c>
      <c r="B37" s="24"/>
      <c r="C37" s="24"/>
      <c r="D37" s="24"/>
      <c r="E37" s="24"/>
      <c r="F37" s="24"/>
      <c r="G37" s="24"/>
      <c r="H37" s="24"/>
      <c r="I37" s="25" t="s">
        <v>258</v>
      </c>
    </row>
    <row r="38" customFormat="false" ht="15" hidden="false" customHeight="false" outlineLevel="0" collapsed="false">
      <c r="A38" s="23" t="s">
        <v>268</v>
      </c>
      <c r="B38" s="24"/>
      <c r="C38" s="24"/>
      <c r="D38" s="24"/>
      <c r="E38" s="24"/>
      <c r="F38" s="24"/>
      <c r="G38" s="24"/>
      <c r="H38" s="24"/>
      <c r="I38" s="25" t="s">
        <v>258</v>
      </c>
    </row>
    <row r="39" customFormat="false" ht="15" hidden="false" customHeight="false" outlineLevel="0" collapsed="false">
      <c r="A39" s="23" t="s">
        <v>269</v>
      </c>
      <c r="B39" s="24"/>
      <c r="C39" s="24"/>
      <c r="D39" s="24"/>
      <c r="E39" s="24"/>
      <c r="F39" s="24"/>
      <c r="G39" s="24"/>
      <c r="H39" s="24"/>
      <c r="I39" s="25" t="s">
        <v>258</v>
      </c>
    </row>
  </sheetData>
  <autoFilter ref="A4:I39"/>
  <mergeCells count="1">
    <mergeCell ref="A2:I2"/>
  </mergeCells>
  <hyperlinks>
    <hyperlink ref="B5" r:id="rId1" display="https://kpmg.com"/>
    <hyperlink ref="B6" r:id="rId2" display="https://www.pwc.com"/>
    <hyperlink ref="B7" r:id="rId3" display="https://www.ibm.com"/>
    <hyperlink ref="B8" r:id="rId4" display="https://www.capgemini.com"/>
    <hyperlink ref="B9" r:id="rId5" display="https://www.cgi.com"/>
    <hyperlink ref="B10" r:id="rId6" display="https://atos.net"/>
    <hyperlink ref="B11" r:id="rId7" display="https://www.nttdata.com"/>
    <hyperlink ref="B12" r:id="rId8" display="https://www.wipro.com"/>
    <hyperlink ref="B13" r:id="rId9" display="https://www.hcltech.com"/>
    <hyperlink ref="B14" r:id="rId10" display="https://www.infosys.com"/>
    <hyperlink ref="B15" r:id="rId11" display="https://www.tcs.com"/>
    <hyperlink ref="B16" r:id="rId12" display="https://www.boozallen.com"/>
    <hyperlink ref="B17" r:id="rId13" display="https://www.nozominetworks.com"/>
    <hyperlink ref="B18" r:id="rId14" display="https://verveindustrial.com"/>
    <hyperlink ref="B19" r:id="rId15" display="https://www.forescout.com"/>
    <hyperlink ref="B20" r:id="rId16" display="https://radiflow.com"/>
    <hyperlink ref="B21" r:id="rId17" display="https://xage.com"/>
    <hyperlink ref="B22" r:id="rId18" display="https://www.cyberbit.com"/>
    <hyperlink ref="B23" r:id="rId19" display="https://www.belden.com"/>
    <hyperlink ref="B24" r:id="rId20" display="https://waterfall-security.com"/>
    <hyperlink ref="B25" r:id="rId21" display="https://www.opswat.com"/>
    <hyperlink ref="B26" r:id="rId22" display="https://sigasec.com"/>
    <hyperlink ref="B27" r:id="rId23" display="https://rhebo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5" min="3" style="0" width="22"/>
  </cols>
  <sheetData>
    <row r="1" customFormat="false" ht="15" hidden="false" customHeight="false" outlineLevel="0" collapsed="false">
      <c r="A1" s="10" t="s">
        <v>14</v>
      </c>
      <c r="B1" s="10" t="s">
        <v>270</v>
      </c>
      <c r="C1" s="10" t="s">
        <v>271</v>
      </c>
      <c r="D1" s="10" t="s">
        <v>272</v>
      </c>
      <c r="E1" s="10" t="s">
        <v>273</v>
      </c>
    </row>
    <row r="2" customFormat="false" ht="15" hidden="false" customHeight="false" outlineLevel="0" collapsed="false">
      <c r="A2" s="26" t="s">
        <v>19</v>
      </c>
      <c r="B2" s="26" t="s">
        <v>274</v>
      </c>
      <c r="C2" s="27" t="str">
        <f aca="false">HYPERLINK("https://www.linkedin.com/jobs/search/?keywords="&amp;_xlfn.ENCODEURL(A2)&amp;"%20"&amp;_xlfn.ENCODEURL(B2),"Search LinkedIn")</f>
        <v>Search LinkedIn</v>
      </c>
      <c r="D2" s="27" t="str">
        <f aca="false">HYPERLINK("https://www.indeed.com/jobs?q="&amp;_xlfn.ENCODEURL(B2)&amp;"+"&amp;_xlfn.ENCODEURL(A2),"Search Indeed")</f>
        <v>Search Indeed</v>
      </c>
      <c r="E2" s="27" t="str">
        <f aca="false">HYPERLINK("https://www.google.com/search?q="&amp;_xlfn.ENCODEURL(A2)&amp;"+"&amp;_xlfn.ENCODEURL(B2)&amp;"+jobs","Search Google Jobs")</f>
        <v>Search Google Jobs</v>
      </c>
    </row>
    <row r="3" customFormat="false" ht="15" hidden="false" customHeight="false" outlineLevel="0" collapsed="false">
      <c r="A3" s="9" t="s">
        <v>20</v>
      </c>
      <c r="B3" s="9" t="s">
        <v>275</v>
      </c>
      <c r="C3" s="28" t="str">
        <f aca="false">HYPERLINK("https://www.linkedin.com/jobs/search/?keywords="&amp;_xlfn.ENCODEURL(A3)&amp;"%20"&amp;_xlfn.ENCODEURL(B3),"Search LinkedIn")</f>
        <v>Search LinkedIn</v>
      </c>
      <c r="D3" s="28" t="str">
        <f aca="false">HYPERLINK("https://www.indeed.com/jobs?q="&amp;_xlfn.ENCODEURL(B3)&amp;"+"&amp;_xlfn.ENCODEURL(A3),"Search Indeed")</f>
        <v>Search Indeed</v>
      </c>
      <c r="E3" s="28" t="str">
        <f aca="false">HYPERLINK("https://www.google.com/search?q="&amp;_xlfn.ENCODEURL(A3)&amp;"+"&amp;_xlfn.ENCODEURL(B3)&amp;"+jobs","Search Google Jobs")</f>
        <v>Search Google Jobs</v>
      </c>
    </row>
    <row r="4" customFormat="false" ht="15" hidden="false" customHeight="false" outlineLevel="0" collapsed="false">
      <c r="A4" s="26" t="s">
        <v>18</v>
      </c>
      <c r="B4" s="26" t="s">
        <v>276</v>
      </c>
      <c r="C4" s="27" t="str">
        <f aca="false">HYPERLINK("https://www.linkedin.com/jobs/search/?keywords="&amp;_xlfn.ENCODEURL(A4)&amp;"%20"&amp;_xlfn.ENCODEURL(B4),"Search LinkedIn")</f>
        <v>Search LinkedIn</v>
      </c>
      <c r="D4" s="27" t="str">
        <f aca="false">HYPERLINK("https://www.indeed.com/jobs?q="&amp;_xlfn.ENCODEURL(B4)&amp;"+"&amp;_xlfn.ENCODEURL(A4),"Search Indeed")</f>
        <v>Search Indeed</v>
      </c>
      <c r="E4" s="27" t="str">
        <f aca="false">HYPERLINK("https://www.google.com/search?q="&amp;_xlfn.ENCODEURL(A4)&amp;"+"&amp;_xlfn.ENCODEURL(B4)&amp;"+jobs","Search Google Jobs")</f>
        <v>Search Google Jobs</v>
      </c>
    </row>
    <row r="5" customFormat="false" ht="15" hidden="false" customHeight="false" outlineLevel="0" collapsed="false">
      <c r="A5" s="9" t="s">
        <v>16</v>
      </c>
      <c r="B5" s="9" t="s">
        <v>277</v>
      </c>
      <c r="C5" s="28" t="str">
        <f aca="false">HYPERLINK("https://www.linkedin.com/jobs/search/?keywords="&amp;_xlfn.ENCODEURL(A5)&amp;"%20"&amp;_xlfn.ENCODEURL(B5),"Search LinkedIn")</f>
        <v>Search LinkedIn</v>
      </c>
      <c r="D5" s="28" t="str">
        <f aca="false">HYPERLINK("https://www.indeed.com/jobs?q="&amp;_xlfn.ENCODEURL(B5)&amp;"+"&amp;_xlfn.ENCODEURL(A5),"Search Indeed")</f>
        <v>Search Indeed</v>
      </c>
      <c r="E5" s="28" t="str">
        <f aca="false">HYPERLINK("https://www.google.com/search?q="&amp;_xlfn.ENCODEURL(A5)&amp;"+"&amp;_xlfn.ENCODEURL(B5)&amp;"+jobs","Search Google Jobs")</f>
        <v>Search Google Jobs</v>
      </c>
    </row>
    <row r="6" customFormat="false" ht="15" hidden="false" customHeight="false" outlineLevel="0" collapsed="false">
      <c r="A6" s="26" t="s">
        <v>17</v>
      </c>
      <c r="B6" s="26" t="s">
        <v>278</v>
      </c>
      <c r="C6" s="27" t="str">
        <f aca="false">HYPERLINK("https://www.linkedin.com/jobs/search/?keywords="&amp;_xlfn.ENCODEURL(A6)&amp;"%20"&amp;_xlfn.ENCODEURL(B6),"Search LinkedIn")</f>
        <v>Search LinkedIn</v>
      </c>
      <c r="D6" s="27" t="str">
        <f aca="false">HYPERLINK("https://www.indeed.com/jobs?q="&amp;_xlfn.ENCODEURL(B6)&amp;"+"&amp;_xlfn.ENCODEURL(A6),"Search Indeed")</f>
        <v>Search Indeed</v>
      </c>
      <c r="E6" s="27" t="str">
        <f aca="false">HYPERLINK("https://www.google.com/search?q="&amp;_xlfn.ENCODEURL(A6)&amp;"+"&amp;_xlfn.ENCODEURL(B6)&amp;"+jobs","Search Google Jobs")</f>
        <v>Search Google Jobs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8" t="s">
        <v>279</v>
      </c>
      <c r="B1" s="8" t="s">
        <v>45</v>
      </c>
    </row>
    <row r="2" customFormat="false" ht="15" hidden="false" customHeight="false" outlineLevel="0" collapsed="false">
      <c r="A2" s="26" t="s">
        <v>19</v>
      </c>
      <c r="B2" s="26" t="s">
        <v>72</v>
      </c>
    </row>
    <row r="3" customFormat="false" ht="15" hidden="false" customHeight="false" outlineLevel="0" collapsed="false">
      <c r="A3" s="9" t="s">
        <v>20</v>
      </c>
      <c r="B3" s="9" t="s">
        <v>89</v>
      </c>
    </row>
    <row r="4" customFormat="false" ht="15" hidden="false" customHeight="false" outlineLevel="0" collapsed="false">
      <c r="A4" s="26" t="s">
        <v>18</v>
      </c>
      <c r="B4" s="26" t="s">
        <v>109</v>
      </c>
    </row>
    <row r="5" customFormat="false" ht="15" hidden="false" customHeight="false" outlineLevel="0" collapsed="false">
      <c r="A5" s="9" t="s">
        <v>16</v>
      </c>
      <c r="B5" s="9" t="s">
        <v>128</v>
      </c>
    </row>
    <row r="6" customFormat="false" ht="15" hidden="false" customHeight="false" outlineLevel="0" collapsed="false">
      <c r="A6" s="26" t="s">
        <v>17</v>
      </c>
      <c r="B6" s="26" t="s">
        <v>146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0" t="s">
        <v>280</v>
      </c>
      <c r="B1" s="10" t="s">
        <v>281</v>
      </c>
      <c r="C1" s="10" t="s">
        <v>282</v>
      </c>
      <c r="D1" s="10" t="s">
        <v>283</v>
      </c>
      <c r="E1" s="10" t="s">
        <v>284</v>
      </c>
      <c r="F1" s="10" t="s">
        <v>285</v>
      </c>
    </row>
    <row r="2" customFormat="false" ht="23.85" hidden="false" customHeight="false" outlineLevel="0" collapsed="false">
      <c r="A2" s="11" t="s">
        <v>286</v>
      </c>
      <c r="B2" s="11" t="s">
        <v>287</v>
      </c>
      <c r="C2" s="11" t="s">
        <v>288</v>
      </c>
      <c r="D2" s="11" t="s">
        <v>289</v>
      </c>
      <c r="E2" s="11" t="s">
        <v>290</v>
      </c>
      <c r="F2" s="12" t="s">
        <v>291</v>
      </c>
    </row>
    <row r="3" customFormat="false" ht="23.85" hidden="false" customHeight="false" outlineLevel="0" collapsed="false">
      <c r="A3" s="17" t="s">
        <v>292</v>
      </c>
      <c r="B3" s="17" t="s">
        <v>293</v>
      </c>
      <c r="C3" s="17" t="s">
        <v>294</v>
      </c>
      <c r="D3" s="17" t="s">
        <v>294</v>
      </c>
      <c r="E3" s="17" t="s">
        <v>290</v>
      </c>
      <c r="F3" s="18" t="s">
        <v>295</v>
      </c>
    </row>
    <row r="4" customFormat="false" ht="15" hidden="false" customHeight="false" outlineLevel="0" collapsed="false">
      <c r="A4" s="2" t="s">
        <v>296</v>
      </c>
      <c r="B4" s="2"/>
      <c r="C4" s="2"/>
      <c r="D4" s="2"/>
      <c r="E4" s="2"/>
      <c r="F4" s="2"/>
    </row>
  </sheetData>
  <autoFilter ref="A1:F3"/>
  <mergeCells count="1">
    <mergeCell ref="A4:F4"/>
  </mergeCells>
  <hyperlinks>
    <hyperlink ref="F2" r:id="rId1" display="securityweek.com/ics-cyber-security-conference"/>
    <hyperlink ref="F3" r:id="rId2" display="iiot-world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4" min="3" style="0" width="30"/>
    <col collapsed="false" customWidth="true" hidden="false" outlineLevel="0" max="5" min="5" style="0" width="34"/>
  </cols>
  <sheetData>
    <row r="1" customFormat="false" ht="23.85" hidden="false" customHeight="false" outlineLevel="0" collapsed="false">
      <c r="A1" s="10" t="s">
        <v>14</v>
      </c>
      <c r="B1" s="10" t="s">
        <v>297</v>
      </c>
      <c r="C1" s="10" t="s">
        <v>298</v>
      </c>
      <c r="D1" s="10" t="s">
        <v>299</v>
      </c>
      <c r="E1" s="10" t="s">
        <v>300</v>
      </c>
    </row>
    <row r="2" customFormat="false" ht="35.05" hidden="false" customHeight="false" outlineLevel="0" collapsed="false">
      <c r="A2" s="11" t="s">
        <v>19</v>
      </c>
      <c r="B2" s="11" t="s">
        <v>301</v>
      </c>
      <c r="C2" s="11"/>
      <c r="D2" s="11"/>
      <c r="E2" s="11"/>
    </row>
    <row r="3" customFormat="false" ht="35.05" hidden="false" customHeight="false" outlineLevel="0" collapsed="false">
      <c r="A3" s="17" t="s">
        <v>20</v>
      </c>
      <c r="B3" s="17" t="s">
        <v>301</v>
      </c>
      <c r="C3" s="17"/>
      <c r="D3" s="17"/>
      <c r="E3" s="17"/>
    </row>
    <row r="4" customFormat="false" ht="35.05" hidden="false" customHeight="false" outlineLevel="0" collapsed="false">
      <c r="A4" s="11" t="s">
        <v>18</v>
      </c>
      <c r="B4" s="11" t="s">
        <v>302</v>
      </c>
      <c r="C4" s="11"/>
      <c r="D4" s="11"/>
      <c r="E4" s="11" t="s">
        <v>110</v>
      </c>
    </row>
    <row r="5" customFormat="false" ht="23.85" hidden="false" customHeight="false" outlineLevel="0" collapsed="false">
      <c r="A5" s="17" t="s">
        <v>16</v>
      </c>
      <c r="B5" s="17" t="s">
        <v>303</v>
      </c>
      <c r="C5" s="17"/>
      <c r="D5" s="17"/>
      <c r="E5" s="17" t="s">
        <v>304</v>
      </c>
    </row>
    <row r="6" customFormat="false" ht="35.05" hidden="false" customHeight="false" outlineLevel="0" collapsed="false">
      <c r="A6" s="11" t="s">
        <v>17</v>
      </c>
      <c r="B6" s="11" t="s">
        <v>305</v>
      </c>
      <c r="C6" s="11"/>
      <c r="D6" s="11"/>
      <c r="E6" s="11"/>
    </row>
    <row r="7" customFormat="false" ht="15" hidden="false" customHeight="false" outlineLevel="0" collapsed="false">
      <c r="A7" s="2" t="s">
        <v>306</v>
      </c>
      <c r="B7" s="2"/>
      <c r="C7" s="2"/>
      <c r="D7" s="2"/>
      <c r="E7" s="2"/>
    </row>
  </sheetData>
  <autoFilter ref="A1:E6"/>
  <mergeCells count="1"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21" t="s">
        <v>307</v>
      </c>
    </row>
    <row r="3" customFormat="false" ht="33.75" hidden="false" customHeight="true" outlineLevel="0" collapsed="false">
      <c r="A3" s="29" t="s">
        <v>308</v>
      </c>
      <c r="B3" s="29"/>
      <c r="C3" s="29"/>
      <c r="D3" s="29"/>
      <c r="E3" s="29"/>
      <c r="F3" s="29"/>
      <c r="G3" s="29"/>
      <c r="H3" s="29"/>
    </row>
    <row r="5" customFormat="false" ht="33.75" hidden="false" customHeight="true" outlineLevel="0" collapsed="false">
      <c r="A5" s="29" t="s">
        <v>309</v>
      </c>
      <c r="B5" s="29"/>
      <c r="C5" s="29"/>
      <c r="D5" s="29"/>
      <c r="E5" s="29"/>
      <c r="F5" s="29"/>
      <c r="G5" s="29"/>
      <c r="H5" s="29"/>
    </row>
    <row r="7" customFormat="false" ht="33.75" hidden="false" customHeight="true" outlineLevel="0" collapsed="false">
      <c r="A7" s="29" t="s">
        <v>310</v>
      </c>
      <c r="B7" s="29"/>
      <c r="C7" s="29"/>
      <c r="D7" s="29"/>
      <c r="E7" s="29"/>
      <c r="F7" s="29"/>
      <c r="G7" s="29"/>
      <c r="H7" s="29"/>
    </row>
    <row r="9" customFormat="false" ht="33.75" hidden="false" customHeight="true" outlineLevel="0" collapsed="false">
      <c r="A9" s="29" t="s">
        <v>311</v>
      </c>
      <c r="B9" s="29"/>
      <c r="C9" s="29"/>
      <c r="D9" s="29"/>
      <c r="E9" s="29"/>
      <c r="F9" s="29"/>
      <c r="G9" s="29"/>
      <c r="H9" s="29"/>
    </row>
    <row r="11" customFormat="false" ht="33.75" hidden="false" customHeight="true" outlineLevel="0" collapsed="false">
      <c r="A11" s="29" t="s">
        <v>312</v>
      </c>
      <c r="B11" s="29"/>
      <c r="C11" s="29"/>
      <c r="D11" s="29"/>
      <c r="E11" s="29"/>
      <c r="F11" s="29"/>
      <c r="G11" s="29"/>
      <c r="H11" s="29"/>
    </row>
    <row r="13" customFormat="false" ht="33.75" hidden="false" customHeight="true" outlineLevel="0" collapsed="false">
      <c r="A13" s="29" t="s">
        <v>313</v>
      </c>
      <c r="B13" s="29"/>
      <c r="C13" s="29"/>
      <c r="D13" s="29"/>
      <c r="E13" s="29"/>
      <c r="F13" s="29"/>
      <c r="G13" s="29"/>
      <c r="H13" s="29"/>
    </row>
    <row r="15" customFormat="false" ht="15" hidden="false" customHeight="false" outlineLevel="0" collapsed="false">
      <c r="A15" s="8" t="s">
        <v>314</v>
      </c>
      <c r="B15" s="8" t="s">
        <v>315</v>
      </c>
    </row>
    <row r="16" customFormat="false" ht="15" hidden="false" customHeight="false" outlineLevel="0" collapsed="false">
      <c r="A16" s="9" t="s">
        <v>7</v>
      </c>
      <c r="B16" s="30"/>
    </row>
    <row r="17" customFormat="false" ht="15" hidden="false" customHeight="false" outlineLevel="0" collapsed="false">
      <c r="A17" s="9" t="s">
        <v>8</v>
      </c>
      <c r="B17" s="31"/>
    </row>
    <row r="18" customFormat="false" ht="15" hidden="false" customHeight="false" outlineLevel="0" collapsed="false">
      <c r="A18" s="9" t="s">
        <v>316</v>
      </c>
      <c r="B18" s="32"/>
    </row>
    <row r="19" customFormat="false" ht="15" hidden="false" customHeight="false" outlineLevel="0" collapsed="false">
      <c r="A19" s="9" t="s">
        <v>317</v>
      </c>
      <c r="B19" s="33"/>
    </row>
    <row r="20" customFormat="false" ht="15" hidden="false" customHeight="false" outlineLevel="0" collapsed="false">
      <c r="A20" s="9" t="s">
        <v>318</v>
      </c>
      <c r="B20" s="34"/>
    </row>
    <row r="21" customFormat="false" ht="15" hidden="false" customHeight="false" outlineLevel="0" collapsed="false">
      <c r="A21" s="9" t="s">
        <v>319</v>
      </c>
      <c r="B21" s="35"/>
    </row>
  </sheetData>
  <mergeCells count="6">
    <mergeCell ref="A3:H3"/>
    <mergeCell ref="A5:H5"/>
    <mergeCell ref="A7:H7"/>
    <mergeCell ref="A9:H9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2026-08-11T00:03:59Z</dcterms:created>
  <dc:creator>openpyxl</dc:creator>
  <dc:description/>
  <dc:language>en-US</dc:language>
  <cp:lastModifiedBy/>
  <dcterms:modified xsi:type="dcterms:W3CDTF">2026-08-11T00:06:04Z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