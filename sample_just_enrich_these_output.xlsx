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ier 1 - Priority Targets" sheetId="1" state="visible" r:id="rId3"/>
    <sheet name="Tier 2 - Extended List" sheetId="2" state="visible" r:id="rId4"/>
    <sheet name="Notes &amp; Assumptions" sheetId="3" state="visible" r:id="rId5"/>
    <sheet name="Summary" sheetId="4" state="visible" r:id="rId6"/>
    <sheet name="Job Posting Quick Links" sheetId="5" state="visible" r:id="rId7"/>
    <sheet name="Job Post Finder" sheetId="6" state="visible" r:id="rId8"/>
    <sheet name="Outreach Contacts" sheetId="7" state="visible" r:id="rId9"/>
    <sheet name="Industry Events &amp; Forums" sheetId="8" state="visible" r:id="rId10"/>
    <sheet name="Company Activity &amp; Events" sheetId="9" state="visible" r:id="rId11"/>
  </sheets>
  <definedNames>
    <definedName function="false" hidden="true" localSheetId="8" name="_xlnm._FilterDatabase" vbProcedure="false">'Company Activity &amp; Events'!$A$1:$E$26</definedName>
    <definedName function="false" hidden="true" localSheetId="7" name="_xlnm._FilterDatabase" vbProcedure="false">'Industry Events &amp; Forums'!$A$1:$F$3</definedName>
    <definedName function="false" hidden="true" localSheetId="5" name="_xlnm._FilterDatabase" vbProcedure="false">'Job Post Finder'!$A$1:$B$26</definedName>
    <definedName function="false" hidden="true" localSheetId="4" name="_xlnm._FilterDatabase" vbProcedure="false">'Job Posting Quick Links'!$A$1:$E$26</definedName>
    <definedName function="false" hidden="true" localSheetId="6" name="_xlnm._FilterDatabase" vbProcedure="false">'Outreach Contacts'!$A$1:$D$26</definedName>
    <definedName function="false" hidden="true" localSheetId="0" name="_xlnm._FilterDatabase" vbProcedure="false">'Tier 1 - Priority Targets'!$A$1:$AL$26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C1" authorId="0">
      <text>
        <r>
          <rPr>
            <sz val="10"/>
            <rFont val="Arial"/>
            <family val="2"/>
          </rPr>
          <t xml:space="preserve">Mechanical starting point only, computed from: (Opportunity Fit points x 2) + (Opportunity Relevance points x 2) + average(Growth/Revenue Signal, Hiring Signal, Recent Hiring Trends points). Not a replacement for your own judgment.</t>
        </r>
      </text>
    </comment>
  </commentList>
</comments>
</file>

<file path=xl/sharedStrings.xml><?xml version="1.0" encoding="utf-8"?>
<sst xmlns="http://schemas.openxmlformats.org/spreadsheetml/2006/main" count="1104" uniqueCount="582">
  <si>
    <t xml:space="preserve">Company</t>
  </si>
  <si>
    <t xml:space="preserve">Website</t>
  </si>
  <si>
    <t xml:space="preserve">Careers Page</t>
  </si>
  <si>
    <t xml:space="preserve">Industry / Sector</t>
  </si>
  <si>
    <t xml:space="preserve">Industry Emphasized</t>
  </si>
  <si>
    <t xml:space="preserve">NAICS Code(s)</t>
  </si>
  <si>
    <t xml:space="preserve">NAICS Code Type</t>
  </si>
  <si>
    <t xml:space="preserve">Why This NAICS Code</t>
  </si>
  <si>
    <t xml:space="preserve">HQ Location / Footprint</t>
  </si>
  <si>
    <t xml:space="preserve">Company Size</t>
  </si>
  <si>
    <t xml:space="preserve">Revenue Band / Latest Revenue</t>
  </si>
  <si>
    <t xml:space="preserve">Growth / Revenue Signal</t>
  </si>
  <si>
    <t xml:space="preserve">Hiring Signal</t>
  </si>
  <si>
    <t xml:space="preserve">Recent Hiring Trends</t>
  </si>
  <si>
    <t xml:space="preserve">Salary Range (if posted)</t>
  </si>
  <si>
    <t xml:space="preserve">Opportunity Relevance</t>
  </si>
  <si>
    <t xml:space="preserve">Opportunity Fit</t>
  </si>
  <si>
    <t xml:space="preserve">Category</t>
  </si>
  <si>
    <t xml:space="preserve">Why This Fits</t>
  </si>
  <si>
    <t xml:space="preserve">Executive Role Fit</t>
  </si>
  <si>
    <t xml:space="preserve">Warm Introduction Path</t>
  </si>
  <si>
    <t xml:space="preserve">Outreach Approach</t>
  </si>
  <si>
    <t xml:space="preserve">Key Contacts / Priority Titles</t>
  </si>
  <si>
    <t xml:space="preserve">Compensation Benchmark</t>
  </si>
  <si>
    <t xml:space="preserve">Suggested Search Keywords</t>
  </si>
  <si>
    <t xml:space="preserve">Suggested Job Title Keywords</t>
  </si>
  <si>
    <t xml:space="preserve">Source URL</t>
  </si>
  <si>
    <t xml:space="preserve">Priority Score</t>
  </si>
  <si>
    <t xml:space="preserve">Suggested Priority Rank (1-25)</t>
  </si>
  <si>
    <t xml:space="preserve">Status</t>
  </si>
  <si>
    <t xml:space="preserve">Next Action</t>
  </si>
  <si>
    <t xml:space="preserve">Date Researched</t>
  </si>
  <si>
    <t xml:space="preserve">_GrowthPts</t>
  </si>
  <si>
    <t xml:space="preserve">_HiringPts</t>
  </si>
  <si>
    <t xml:space="preserve">_RecentHiringPts</t>
  </si>
  <si>
    <t xml:space="preserve">_OppRelPts</t>
  </si>
  <si>
    <t xml:space="preserve">_OppFitPts</t>
  </si>
  <si>
    <t xml:space="preserve">_TieBreakRank</t>
  </si>
  <si>
    <t xml:space="preserve">Deloitte</t>
  </si>
  <si>
    <t xml:space="preserve">https://www2.deloitte.com</t>
  </si>
  <si>
    <t xml:space="preserve">https://apply.deloitte.com/careers</t>
  </si>
  <si>
    <t xml:space="preserve">Management &amp; Technology Consulting</t>
  </si>
  <si>
    <t xml:space="preserve">Cyber risk advisory for critical infrastructure and industrial clients</t>
  </si>
  <si>
    <t xml:space="preserve">541611, 541512, 541990</t>
  </si>
  <si>
    <t xml:space="preserve">Primary</t>
  </si>
  <si>
    <t xml:space="preserve">Keyword used: "Consulting, Advisory" -&gt; 541611 (Management Consulting) as primary; "Information Technology" -&gt; 541512 (Computer Systems Design) and 541990 (misc professional/scientific/technical) as secondary, reflecting Deloitte's IT and broader advisory lines.</t>
  </si>
  <si>
    <t xml:space="preserve">New York, NY, USA — global</t>
  </si>
  <si>
    <t xml:space="preserve">400,000+ employees globally</t>
  </si>
  <si>
    <t xml:space="preserve">~$67B (FY2025, global network revenue, publicly reported)</t>
  </si>
  <si>
    <t xml:space="preserve">High — global consulting demand for OT/ICS risk continues to grow with critical infrastructure regulation (NERC CIP, EU NIS2)</t>
  </si>
  <si>
    <t xml:space="preserve">Medium — steady but not aggressive hiring signal in OT-specific cyber risk roles based on overall firm trajectory</t>
  </si>
  <si>
    <t xml:space="preserve">Not independently verified this pass</t>
  </si>
  <si>
    <t xml:space="preserve">High — global scale, established OT/ICS cyber risk practice, frequent Director/Partner-track hiring</t>
  </si>
  <si>
    <t xml:space="preserve">High</t>
  </si>
  <si>
    <t xml:space="preserve">Global Big 4 / Major Consulting</t>
  </si>
  <si>
    <t xml:space="preserve">Direct-fit Big 4 firm with an active cyber risk practice serving industrial/critical infrastructure clients; matches Tom's practice-building background at EY/Accenture.</t>
  </si>
  <si>
    <t xml:space="preserve">Managing Director / Principal, Cyber Risk (OT/ICS)</t>
  </si>
  <si>
    <t xml:space="preserve">LinkedIn 2nd-degree via former EY/Accenture colleagues who moved to Deloitte; industry conference contacts (S4, SANS ICS Summit)</t>
  </si>
  <si>
    <t xml:space="preserve">Approach via a Deloitte Cyber Risk Managing Director referral or executive search firm specializing in Big 4 lateral partner hires</t>
  </si>
  <si>
    <t xml:space="preserve">Practice-level: Managing Director, Cyber Risk – OT/ICS (title-level, no named individual publicly confirmed this pass)</t>
  </si>
  <si>
    <t xml:space="preserve">Not applicable — Deloitte is a private partnership and does not file a 10-K/proxy</t>
  </si>
  <si>
    <t xml:space="preserve">OT cybersecurity Deloitte, Deloitte cyber risk industrial, Deloitte ICS practice</t>
  </si>
  <si>
    <t xml:space="preserve">Managing Director Cyber Risk OT, Principal OT/ICS Security, Cyber Risk Industrials Leader</t>
  </si>
  <si>
    <t xml:space="preserve">https://www2.deloitte.com; general knowledge, not independently re-verified via search this pass</t>
  </si>
  <si>
    <t xml:space="preserve">August 11, 2026</t>
  </si>
  <si>
    <t xml:space="preserve">EY</t>
  </si>
  <si>
    <t xml:space="preserve">https://www.ey.com</t>
  </si>
  <si>
    <t xml:space="preserve">https://careers.ey.com</t>
  </si>
  <si>
    <t xml:space="preserve">Professional Services / Consulting</t>
  </si>
  <si>
    <t xml:space="preserve">OT cybersecurity consulting for critical infrastructure, energy, and manufacturing</t>
  </si>
  <si>
    <t xml:space="preserve">Keyword used: "Consulting, Advisory" -&gt; 541611 primary; "Information Technology" -&gt; 541512 and 541990 secondary, reflecting EY's technology consulting and broader advisory lines.</t>
  </si>
  <si>
    <t xml:space="preserve">London, UK — global (US headquartered operations in multiple cities)</t>
  </si>
  <si>
    <t xml:space="preserve">~$51.2B (FY2025, global network revenue, publicly reported)</t>
  </si>
  <si>
    <t xml:space="preserve">High — EY continues investing in cyber risk as part of its broader consulting growth strategy</t>
  </si>
  <si>
    <t xml:space="preserve">Medium</t>
  </si>
  <si>
    <t xml:space="preserve">Very High — direct former employer, practice Tom personally founded and scaled to $10M–30M+</t>
  </si>
  <si>
    <t xml:space="preserve">Former Employer / Direct Alumni Network</t>
  </si>
  <si>
    <t xml:space="preserve">Tom personally founded and scaled EY's global OT cybersecurity practice from zero; strongest warm-network fit on this list.</t>
  </si>
  <si>
    <t xml:space="preserve">Partner / Principal, OT Cybersecurity Consulting</t>
  </si>
  <si>
    <t xml:space="preserve">Direct — former colleagues and practice team Tom built from 2016-2020; strongest warm-intro path on the entire list</t>
  </si>
  <si>
    <t xml:space="preserve">Direct outreach to former EY OT cyber colleagues/leadership; leverage practice he built as a credibility anchor</t>
  </si>
  <si>
    <t xml:space="preserve">Direct alumni network (not independently re-verified this pass — Tom's own contacts are the strongest source here)</t>
  </si>
  <si>
    <t xml:space="preserve">Not applicable — EY is a private partnership and does not file a 10-K/proxy</t>
  </si>
  <si>
    <t xml:space="preserve">EY OT cybersecurity, EY cyber risk industrial, Ernst Young ICS practice</t>
  </si>
  <si>
    <t xml:space="preserve">Partner OT Cybersecurity, Principal Cyber Risk Industrials, OT Security Practice Leader</t>
  </si>
  <si>
    <t xml:space="preserve">https://www.ey.com; Tom's resume (former employer)</t>
  </si>
  <si>
    <t xml:space="preserve">KPMG</t>
  </si>
  <si>
    <t xml:space="preserve">https://kpmg.com</t>
  </si>
  <si>
    <t xml:space="preserve">https://kpmg.com/us/en/careers.html</t>
  </si>
  <si>
    <t xml:space="preserve">Regulatory readiness and third-party risk consulting for industrial/critical infrastructure clients</t>
  </si>
  <si>
    <t xml:space="preserve">Keyword used: "Consulting, Advisory" -&gt; 541611 primary; "Information Technology" -&gt; 541512 and 541990 secondary, reflecting KPMG's technology and broader advisory practices.</t>
  </si>
  <si>
    <t xml:space="preserve">Amstelveen, Netherlands — global</t>
  </si>
  <si>
    <t xml:space="preserve">275,000+ employees globally</t>
  </si>
  <si>
    <t xml:space="preserve">~$38B (FY2025, global network revenue, publicly reported)</t>
  </si>
  <si>
    <t xml:space="preserve">Medium-High</t>
  </si>
  <si>
    <t xml:space="preserve">Medium-High — Big 4 scale with a maturity-assessment-focused OT practice, but less specialized than EY/Accenture in this niche</t>
  </si>
  <si>
    <t xml:space="preserve">Big 4 firm with a recognized OT/ICS regulatory readiness and maturity-assessment practice; solid Director/Partner-track target.</t>
  </si>
  <si>
    <t xml:space="preserve">Managing Director / Principal, Cyber Security (OT/ICS)</t>
  </si>
  <si>
    <t xml:space="preserve">LinkedIn 2nd-degree via Big 4 alumni network; industry conference contacts</t>
  </si>
  <si>
    <t xml:space="preserve">Approach via executive search firm specializing in Big 4 lateral partner hires</t>
  </si>
  <si>
    <t xml:space="preserve">Practice-level title only — no named individual independently confirmed this pass</t>
  </si>
  <si>
    <t xml:space="preserve">Not applicable — KPMG is a private partnership and does not file a 10-K/proxy</t>
  </si>
  <si>
    <t xml:space="preserve">KPMG OT cybersecurity, KPMG cyber risk industrial</t>
  </si>
  <si>
    <t xml:space="preserve">Managing Director Cyber Security OT, Principal ICS Risk Advisory</t>
  </si>
  <si>
    <t xml:space="preserve">https://kpmg.com; general knowledge</t>
  </si>
  <si>
    <t xml:space="preserve">PwC</t>
  </si>
  <si>
    <t xml:space="preserve">https://www.pwc.com</t>
  </si>
  <si>
    <t xml:space="preserve">https://www.pwc.com/us/en/careers.html</t>
  </si>
  <si>
    <t xml:space="preserve">Risk quantification and ESG-linked cybersecurity advisory for industrial clients</t>
  </si>
  <si>
    <t xml:space="preserve">Keyword used: "Consulting, Advisory" -&gt; 541611 primary; "Information Technology" -&gt; 541512 and 541990 secondary, reflecting PwC's technology consulting and Strategy&amp; advisory lines.</t>
  </si>
  <si>
    <t xml:space="preserve">London, UK — global</t>
  </si>
  <si>
    <t xml:space="preserve">370,000+ employees globally</t>
  </si>
  <si>
    <t xml:space="preserve">~$55.4B (FY2025, global network revenue, publicly reported)</t>
  </si>
  <si>
    <t xml:space="preserve">Medium-High — Big 4 scale, risk-quantification angle is a differentiated but narrower OT niche than EY/Accenture</t>
  </si>
  <si>
    <t xml:space="preserve">Big 4 firm with board-level risk-quantification consulting that complements Tom's board/C-suite advisory experience.</t>
  </si>
  <si>
    <t xml:space="preserve">LinkedIn 2nd-degree via Big 4 alumni network</t>
  </si>
  <si>
    <t xml:space="preserve">Not applicable — PwC is a private partnership and does not file a 10-K/proxy</t>
  </si>
  <si>
    <t xml:space="preserve">PwC OT cybersecurity, PwC cyber risk industrial</t>
  </si>
  <si>
    <t xml:space="preserve">Managing Director Cyber Risk OT, Principal Industrial Cyber Risk</t>
  </si>
  <si>
    <t xml:space="preserve">https://www.pwc.com; general knowledge</t>
  </si>
  <si>
    <t xml:space="preserve">Accenture</t>
  </si>
  <si>
    <t xml:space="preserve">https://www.accenture.com</t>
  </si>
  <si>
    <t xml:space="preserve">https://www.accenture.com/us-en/careers</t>
  </si>
  <si>
    <t xml:space="preserve">Technology &amp; Management Consulting</t>
  </si>
  <si>
    <t xml:space="preserve">OT security integrated with Industry 4.0 / smart-factory digital transformation</t>
  </si>
  <si>
    <t xml:space="preserve">541512, 541611, 541990</t>
  </si>
  <si>
    <t xml:space="preserve">Keyword used: "Information Technology" -&gt; 541512 primary; "Consulting, Advisory" -&gt; 541611 and 541990 secondary, reflecting Accenture's blend of IT delivery and management consulting.</t>
  </si>
  <si>
    <t xml:space="preserve">Dublin, Ireland — global (major US operations)</t>
  </si>
  <si>
    <t xml:space="preserve">775,000+ employees globally</t>
  </si>
  <si>
    <t xml:space="preserve">~$69.7B (FY2025, publicly traded, NYSE: ACN)</t>
  </si>
  <si>
    <t xml:space="preserve">High — Accenture's security practice continues to grow alongside AI and cloud-OT integration demand</t>
  </si>
  <si>
    <t xml:space="preserve">Very High — direct former employer; Tom personally scaled the OT security capability here</t>
  </si>
  <si>
    <t xml:space="preserve">Tom built and scaled Accenture's global OT cybersecurity capability from a limited footprint; strong warm-network fit and public-company target with 10-K/proxy visibility.</t>
  </si>
  <si>
    <t xml:space="preserve">Managing Director, Security (OT/ICS)</t>
  </si>
  <si>
    <t xml:space="preserve">Direct — former colleagues from 2021-2022 tenure</t>
  </si>
  <si>
    <t xml:space="preserve">Direct outreach to former Accenture Security colleagues/leadership</t>
  </si>
  <si>
    <t xml:space="preserve">Practice-level: Global Security Lead / Managing Director, OT Security (per FY2025 10-K, Accenture's proxy discloses executive officers but does not name a company-wide CISO as a Named Executive Officer)</t>
  </si>
  <si>
    <t xml:space="preserve">Not a Named Executive Officer — not disclosed in Accenture's FY2025 proxy Summary Compensation Table (security/OT leadership roles below NEO threshold)</t>
  </si>
  <si>
    <t xml:space="preserve">Accenture OT security, Accenture Security industrial, Accenture ICS practice</t>
  </si>
  <si>
    <t xml:space="preserve">Managing Director Security OT, Senior Manager OT Cybersecurity</t>
  </si>
  <si>
    <t xml:space="preserve">https://www.accenture.com; Tom's resume (former employer); Accenture FY2025 proxy general knowledge, not independently re-verified this pass</t>
  </si>
  <si>
    <t xml:space="preserve">IBM</t>
  </si>
  <si>
    <t xml:space="preserve">https://www.ibm.com</t>
  </si>
  <si>
    <t xml:space="preserve">https://www.ibm.com/careers</t>
  </si>
  <si>
    <t xml:space="preserve">Technology / IT Consulting</t>
  </si>
  <si>
    <t xml:space="preserve">OT security integrated with X-Force threat intelligence and hybrid cloud-to-OT connectivity</t>
  </si>
  <si>
    <t xml:space="preserve">541512, 541990, 511210</t>
  </si>
  <si>
    <t xml:space="preserve">Keyword used: "Information Technology" -&gt; 541512 primary; 541990 secondary for IBM Consulting's broader advisory; 511210 (Software Publishers) secondary for IBM's own software portfolio.</t>
  </si>
  <si>
    <t xml:space="preserve">Armonk, NY, USA</t>
  </si>
  <si>
    <t xml:space="preserve">280,000+ employees globally</t>
  </si>
  <si>
    <t xml:space="preserve">~$62.8B (FY2025, publicly traded, NYSE: IBM)</t>
  </si>
  <si>
    <t xml:space="preserve">Medium-High — strong brand and X-Force threat intel angle, but OT is a smaller slice of a very large portfolio</t>
  </si>
  <si>
    <t xml:space="preserve">Global Technology / IT Consulting</t>
  </si>
  <si>
    <t xml:space="preserve">IBM Consulting's OT security practice, tied to X-Force threat intelligence, is a credible Director-level target given Tom's zero-trust and segmentation background.</t>
  </si>
  <si>
    <t xml:space="preserve">Associate Partner / Partner, Cybersecurity Services (OT)</t>
  </si>
  <si>
    <t xml:space="preserve">LinkedIn 2nd-degree via industry conference contacts (Dragos/Nozomi/Claroty ecosystem overlaps with IBM partnerships)</t>
  </si>
  <si>
    <t xml:space="preserve">Approach via IBM Consulting recruiter or executive search firm</t>
  </si>
  <si>
    <t xml:space="preserve">Named CISO per FY2025 10-K Item 1C disclosure: IBM discloses a Chief Information Security Officer role in its cybersecurity governance section but the individual named is enterprise-wide, not OT-specific (not independently re-verified this pass)</t>
  </si>
  <si>
    <t xml:space="preserve">Not a Named Executive Officer — not disclosed in IBM's most recent proxy Summary Compensation Table</t>
  </si>
  <si>
    <t xml:space="preserve">IBM OT security, IBM X-Force ICS, IBM Consulting industrial cybersecurity</t>
  </si>
  <si>
    <t xml:space="preserve">Partner Cybersecurity Services OT, Associate Partner Industrial Security</t>
  </si>
  <si>
    <t xml:space="preserve">https://www.ibm.com; general knowledge, not independently re-verified via search this pass</t>
  </si>
  <si>
    <t xml:space="preserve">Capgemini</t>
  </si>
  <si>
    <t xml:space="preserve">https://www.capgemini.com</t>
  </si>
  <si>
    <t xml:space="preserve">https://www.capgemini.com/careers/</t>
  </si>
  <si>
    <t xml:space="preserve">Technology &amp; Engineering Consulting</t>
  </si>
  <si>
    <t xml:space="preserve">OT/IoT security within broader Industry 4.0 engineering services</t>
  </si>
  <si>
    <t xml:space="preserve">541512, 541690, 541611</t>
  </si>
  <si>
    <t xml:space="preserve">Keyword used: "Information Technology" -&gt; 541512 primary; "Operational Technology" -&gt; 541690 secondary for engineering/OT services; 541611 secondary for management consulting arm.</t>
  </si>
  <si>
    <t xml:space="preserve">Paris, France — global</t>
  </si>
  <si>
    <t xml:space="preserve">340,000+ employees globally</t>
  </si>
  <si>
    <t xml:space="preserve">~€22.1B (FY2025, publicly traded, Euronext Paris: CAP)</t>
  </si>
  <si>
    <t xml:space="preserve">Medium — large scale but OT security is a smaller, less specialized line than at EY/Accenture</t>
  </si>
  <si>
    <t xml:space="preserve">Global IT/Engineering Services</t>
  </si>
  <si>
    <t xml:space="preserve">Large systems integrator with an OT/IoT security line; a plausible Director-level target but less specialized bench than pure-play OT firms.</t>
  </si>
  <si>
    <t xml:space="preserve">Vice President / Practice Lead, Cybersecurity (OT)</t>
  </si>
  <si>
    <t xml:space="preserve">LinkedIn 2nd-degree via industry conference contacts</t>
  </si>
  <si>
    <t xml:space="preserve">Approach via recruiter or LinkedIn outreach to Capgemini Cybersecurity practice leadership</t>
  </si>
  <si>
    <t xml:space="preserve">Not independently verified this pass — Euronext-listed, French governance disclosure differs from US 10-K/proxy format</t>
  </si>
  <si>
    <t xml:space="preserve">Capgemini OT security, Capgemini cybersecurity industrial</t>
  </si>
  <si>
    <t xml:space="preserve">VP Cybersecurity OT, Practice Lead Industrial Security</t>
  </si>
  <si>
    <t xml:space="preserve">https://www.capgemini.com; general knowledge</t>
  </si>
  <si>
    <t xml:space="preserve">CGI</t>
  </si>
  <si>
    <t xml:space="preserve">https://www.cgi.com</t>
  </si>
  <si>
    <t xml:space="preserve">https://www.cgi.com/en/careers</t>
  </si>
  <si>
    <t xml:space="preserve">IT Services &amp; Consulting</t>
  </si>
  <si>
    <t xml:space="preserve">OT/IT convergence security for utilities and government clients</t>
  </si>
  <si>
    <t xml:space="preserve">541512, 541611</t>
  </si>
  <si>
    <t xml:space="preserve">Keyword used: "Information Technology" -&gt; 541512 primary; "Consulting" -&gt; 541611 secondary for CGI's business consulting practice.</t>
  </si>
  <si>
    <t xml:space="preserve">Montreal, Canada — global</t>
  </si>
  <si>
    <t xml:space="preserve">94,000+ employees globally</t>
  </si>
  <si>
    <t xml:space="preserve">~C$14.7B (FY2025, publicly traded, TSX/NYSE: GIB.A/GIB)</t>
  </si>
  <si>
    <t xml:space="preserve">Low-Medium</t>
  </si>
  <si>
    <t xml:space="preserve">Medium — solid utility-sector OT presence but not a headline OT security brand</t>
  </si>
  <si>
    <t xml:space="preserve">CGI's utility and government client base overlaps with Tom's critical infrastructure focus, though its OT security practice is less prominent than Big 4 peers.</t>
  </si>
  <si>
    <t xml:space="preserve">Vice President, Cybersecurity Consulting (OT)</t>
  </si>
  <si>
    <t xml:space="preserve">Approach via recruiter or LinkedIn outreach to CGI Cybersecurity leadership</t>
  </si>
  <si>
    <t xml:space="preserve">CGI OT security, CGI cybersecurity utilities</t>
  </si>
  <si>
    <t xml:space="preserve">VP Cybersecurity OT, Director Industrial IT Security</t>
  </si>
  <si>
    <t xml:space="preserve">https://www.cgi.com; general knowledge</t>
  </si>
  <si>
    <t xml:space="preserve">Atos / Eviden</t>
  </si>
  <si>
    <t xml:space="preserve">https://eviden.com</t>
  </si>
  <si>
    <t xml:space="preserve">https://eviden.com/careers/</t>
  </si>
  <si>
    <t xml:space="preserve">IT Services &amp; Cybersecurity</t>
  </si>
  <si>
    <t xml:space="preserve">Sovereign cloud and OT security for European critical infrastructure</t>
  </si>
  <si>
    <t xml:space="preserve">541512, 541690</t>
  </si>
  <si>
    <t xml:space="preserve">Keyword used: "Information Technology" -&gt; 541512 primary; "Operational Technology" -&gt; 541690 secondary for Eviden's critical-infrastructure/OT security work.</t>
  </si>
  <si>
    <t xml:space="preserve">Bezons, France — global</t>
  </si>
  <si>
    <t xml:space="preserve">~50,000 employees (Eviden, post-restructuring)</t>
  </si>
  <si>
    <t xml:space="preserve">~€5B (Eviden segment, approximate, FY2025 — Atos group has undergone significant financial restructuring in recent years)</t>
  </si>
  <si>
    <t xml:space="preserve">Low-Medium — Atos/Eviden has faced well-publicized financial and restructuring challenges</t>
  </si>
  <si>
    <t xml:space="preserve">Medium — genuine European OT/critical-infrastructure credentials, but corporate instability is a real risk factor for a leadership hire</t>
  </si>
  <si>
    <t xml:space="preserve">Strong sovereign/European critical-infrastructure credentials, tempered by Atos's recent financial restructuring — worth flagging as higher-risk than peers.</t>
  </si>
  <si>
    <t xml:space="preserve">Vice President, Cybersecurity Products (OT)</t>
  </si>
  <si>
    <t xml:space="preserve">Approach cautiously given recent corporate restructuring; verify current organizational stability before pursuing</t>
  </si>
  <si>
    <t xml:space="preserve">Eviden OT security, Atos cybersecurity industrial</t>
  </si>
  <si>
    <t xml:space="preserve">VP Cybersecurity OT, Director Industrial Security Eviden</t>
  </si>
  <si>
    <t xml:space="preserve">https://eviden.com; general knowledge — note recent Atos financial restructuring is a material caveat</t>
  </si>
  <si>
    <t xml:space="preserve">DXC Technology</t>
  </si>
  <si>
    <t xml:space="preserve">https://dxc.com</t>
  </si>
  <si>
    <t xml:space="preserve">https://dxc.com/us/en/careers</t>
  </si>
  <si>
    <t xml:space="preserve">IT Services</t>
  </si>
  <si>
    <t xml:space="preserve">Enterprise IT/OT security services</t>
  </si>
  <si>
    <t xml:space="preserve">Keyword used: "Information Technology" -&gt; 541512 primary; "Consulting" -&gt; 541611 secondary for DXC's advisory services.</t>
  </si>
  <si>
    <t xml:space="preserve">Ashburn, VA, USA — global</t>
  </si>
  <si>
    <t xml:space="preserve">106,000+ employees globally</t>
  </si>
  <si>
    <t xml:space="preserve">~$12.9B (FY2025, publicly traded, NYSE: DXC)</t>
  </si>
  <si>
    <t xml:space="preserve">Low-Medium — DXC has faced revenue contraction in recent years as it repositions its portfolio</t>
  </si>
  <si>
    <t xml:space="preserve">Low</t>
  </si>
  <si>
    <t xml:space="preserve">Low-Medium — OT security is a minor line within a company undergoing broader strategic repositioning</t>
  </si>
  <si>
    <t xml:space="preserve">DXC's OT security capability exists but is a smaller, less differentiated part of a company in active portfolio repositioning.</t>
  </si>
  <si>
    <t xml:space="preserve">Vice President, Security Services (OT)</t>
  </si>
  <si>
    <t xml:space="preserve">LinkedIn 2nd-degree</t>
  </si>
  <si>
    <t xml:space="preserve">Lower priority given company's broader repositioning — approach opportunistically via recruiter</t>
  </si>
  <si>
    <t xml:space="preserve">Not a Named Executive Officer — not disclosed in DXC's most recent proxy Summary Compensation Table</t>
  </si>
  <si>
    <t xml:space="preserve">DXC OT security, DXC industrial cybersecurity</t>
  </si>
  <si>
    <t xml:space="preserve">VP Security Services OT, Director Industrial Cybersecurity</t>
  </si>
  <si>
    <t xml:space="preserve">https://dxc.com; general knowledge</t>
  </si>
  <si>
    <t xml:space="preserve">NTT Data</t>
  </si>
  <si>
    <t xml:space="preserve">https://www.nttdata.com</t>
  </si>
  <si>
    <t xml:space="preserve">https://www.nttdata.com/global/en/careers</t>
  </si>
  <si>
    <t xml:space="preserve">OT/IoT security for manufacturing and telecom-adjacent clients</t>
  </si>
  <si>
    <t xml:space="preserve">Keyword used: "Information Technology" -&gt; 541512 primary; "Operational Technology" -&gt; 541690 secondary reflecting manufacturing-sector OT/IoT work.</t>
  </si>
  <si>
    <t xml:space="preserve">Tokyo, Japan — global</t>
  </si>
  <si>
    <t xml:space="preserve">190,000+ employees globally</t>
  </si>
  <si>
    <t xml:space="preserve">Part of NTT Group (~¥13 trillion total group revenue); NTT Data segment revenue not independently broken out this pass</t>
  </si>
  <si>
    <t xml:space="preserve">Medium — solid manufacturing-sector OT presence, telecom background overlap with Tom's Nortel/Ericsson experience</t>
  </si>
  <si>
    <t xml:space="preserve">NTT Data's manufacturing-sector OT work overlaps usefully with Tom's telecom/wireless engineering background (Nortel, Siemens, Ericsson).</t>
  </si>
  <si>
    <t xml:space="preserve">Vice President, Cybersecurity (OT/IoT)</t>
  </si>
  <si>
    <t xml:space="preserve">LinkedIn 2nd-degree via telecom industry background overlap</t>
  </si>
  <si>
    <t xml:space="preserve">Approach via recruiter or LinkedIn outreach</t>
  </si>
  <si>
    <t xml:space="preserve">Not applicable this pass — Japan-listed parent (NTT Group), governance disclosure differs from US 10-K/proxy format</t>
  </si>
  <si>
    <t xml:space="preserve">NTT Data OT security, NTT Data industrial cybersecurity</t>
  </si>
  <si>
    <t xml:space="preserve">VP Cybersecurity OT, Director Industrial IoT Security</t>
  </si>
  <si>
    <t xml:space="preserve">https://www.nttdata.com; general knowledge</t>
  </si>
  <si>
    <t xml:space="preserve">Wipro</t>
  </si>
  <si>
    <t xml:space="preserve">https://www.wipro.com</t>
  </si>
  <si>
    <t xml:space="preserve">https://careers.wipro.com</t>
  </si>
  <si>
    <t xml:space="preserve">OT/ICS security as part of broader cybersecurity and engineering services</t>
  </si>
  <si>
    <t xml:space="preserve">Keyword used: "Information Technology" -&gt; 541512 primary; "Consulting" -&gt; 541611 secondary.</t>
  </si>
  <si>
    <t xml:space="preserve">Bengaluru, India — global</t>
  </si>
  <si>
    <t xml:space="preserve">230,000+ employees globally</t>
  </si>
  <si>
    <t xml:space="preserve">~$10.9B (FY2025, publicly traded, NYSE: WIT)</t>
  </si>
  <si>
    <t xml:space="preserve">Low-Medium — offshore-heavy delivery model, less US Director-level OT leadership hiring signal</t>
  </si>
  <si>
    <t xml:space="preserve">OT security exists within Wipro's broader cybersecurity practice, but leadership hiring in the US market for this niche is less visible.</t>
  </si>
  <si>
    <t xml:space="preserve">Practice Partner, Cybersecurity &amp; Risk Services (OT)</t>
  </si>
  <si>
    <t xml:space="preserve">Lower priority given offshore-heavy delivery model — approach opportunistically</t>
  </si>
  <si>
    <t xml:space="preserve">Not independently verified this pass — India-listed (NSE/BSE) and ADR-listed (NYSE), governance disclosure differs from US 10-K/proxy format</t>
  </si>
  <si>
    <t xml:space="preserve">Wipro OT security, Wipro industrial cybersecurity</t>
  </si>
  <si>
    <t xml:space="preserve">Practice Partner Cybersecurity OT, Director Industrial Security</t>
  </si>
  <si>
    <t xml:space="preserve">https://www.wipro.com; general knowledge</t>
  </si>
  <si>
    <t xml:space="preserve">HCLTech</t>
  </si>
  <si>
    <t xml:space="preserve">https://www.hcltech.com</t>
  </si>
  <si>
    <t xml:space="preserve">https://www.hcltech.com/careers</t>
  </si>
  <si>
    <t xml:space="preserve">OT/ICS security within engineering and R&amp;D services</t>
  </si>
  <si>
    <t xml:space="preserve">Keyword used: "Information Technology" -&gt; 541512 primary; "Operational Technology" -&gt; 541690 secondary reflecting engineering R&amp;D services.</t>
  </si>
  <si>
    <t xml:space="preserve">Noida, India — global</t>
  </si>
  <si>
    <t xml:space="preserve">220,000+ employees globally</t>
  </si>
  <si>
    <t xml:space="preserve">~$13.8B (FY2025, publicly traded, NSE/BSE: HCLTECH)</t>
  </si>
  <si>
    <t xml:space="preserve">Low-Medium — similar profile to Wipro; offshore-heavy delivery model</t>
  </si>
  <si>
    <t xml:space="preserve">Similar profile to Wipro — OT security exists but US Director-level leadership visibility is limited.</t>
  </si>
  <si>
    <t xml:space="preserve">Practice Director, Cybersecurity (OT)</t>
  </si>
  <si>
    <t xml:space="preserve">Lower priority given offshore-heavy delivery model</t>
  </si>
  <si>
    <t xml:space="preserve">Not independently verified this pass — India-listed, governance disclosure differs from US 10-K/proxy format</t>
  </si>
  <si>
    <t xml:space="preserve">HCLTech OT security, HCL industrial cybersecurity</t>
  </si>
  <si>
    <t xml:space="preserve">Practice Director Cybersecurity OT, Director Industrial Security</t>
  </si>
  <si>
    <t xml:space="preserve">https://www.hcltech.com; general knowledge</t>
  </si>
  <si>
    <t xml:space="preserve">Infosys</t>
  </si>
  <si>
    <t xml:space="preserve">https://www.infosys.com</t>
  </si>
  <si>
    <t xml:space="preserve">https://www.infosys.com/careers</t>
  </si>
  <si>
    <t xml:space="preserve">OT/ICS security within Industry 4.0 and manufacturing digital services</t>
  </si>
  <si>
    <t xml:space="preserve">Keyword used: "Information Technology" -&gt; 541512 primary; "Operational Technology" -&gt; 541690 secondary reflecting Industry 4.0/manufacturing digital services.</t>
  </si>
  <si>
    <t xml:space="preserve">315,000+ employees globally</t>
  </si>
  <si>
    <t xml:space="preserve">~$18.6B (FY2025, publicly traded, NYSE: INFY)</t>
  </si>
  <si>
    <t xml:space="preserve">Low-Medium — similar offshore-heavy profile</t>
  </si>
  <si>
    <t xml:space="preserve">Manufacturing-sector OT security exists but US Director-level leadership visibility is limited relative to Big 4/pure-play peers.</t>
  </si>
  <si>
    <t xml:space="preserve">Practice Leader, Cybersecurity (OT)</t>
  </si>
  <si>
    <t xml:space="preserve">Not independently verified this pass — India-listed and ADR-listed, governance disclosure differs from US 10-K/proxy format</t>
  </si>
  <si>
    <t xml:space="preserve">Infosys OT security, Infosys industrial cybersecurity</t>
  </si>
  <si>
    <t xml:space="preserve">Practice Leader Cybersecurity OT, Director Industrial Security</t>
  </si>
  <si>
    <t xml:space="preserve">https://www.infosys.com; general knowledge</t>
  </si>
  <si>
    <t xml:space="preserve">TCS (Tata Consultancy Services)</t>
  </si>
  <si>
    <t xml:space="preserve">https://www.tcs.com</t>
  </si>
  <si>
    <t xml:space="preserve">https://www.tcs.com/careers</t>
  </si>
  <si>
    <t xml:space="preserve">OT/ICS security within broader manufacturing and utilities engineering services</t>
  </si>
  <si>
    <t xml:space="preserve">Keyword used: "Information Technology" -&gt; 541512 primary; "Operational Technology" -&gt; 541690 secondary reflecting utilities/manufacturing engineering services.</t>
  </si>
  <si>
    <t xml:space="preserve">Mumbai, India — global</t>
  </si>
  <si>
    <t xml:space="preserve">600,000+ employees globally</t>
  </si>
  <si>
    <t xml:space="preserve">~$29.1B (FY2025, publicly traded, NSE/BSE: TCS)</t>
  </si>
  <si>
    <t xml:space="preserve">Low-Medium — largest scale in this peer group but similarly offshore-heavy delivery model</t>
  </si>
  <si>
    <t xml:space="preserve">Largest Indian IT major with utilities-sector OT presence, but US Director-level leadership visibility for this niche is limited.</t>
  </si>
  <si>
    <t xml:space="preserve">Practice Head, Cybersecurity (OT)</t>
  </si>
  <si>
    <t xml:space="preserve">TCS OT security, Tata Consultancy industrial cybersecurity</t>
  </si>
  <si>
    <t xml:space="preserve">Practice Head Cybersecurity OT, Director Industrial Security</t>
  </si>
  <si>
    <t xml:space="preserve">https://www.tcs.com; general knowledge</t>
  </si>
  <si>
    <t xml:space="preserve">Booz Allen Hamilton</t>
  </si>
  <si>
    <t xml:space="preserve">https://www.boozallen.com</t>
  </si>
  <si>
    <t xml:space="preserve">https://www.boozallen.com/careers.html</t>
  </si>
  <si>
    <t xml:space="preserve">OT cybersecurity for federal, defense, and critical infrastructure clients</t>
  </si>
  <si>
    <t xml:space="preserve">541611, 541512, 541330</t>
  </si>
  <si>
    <t xml:space="preserve">Keyword used: "Consulting, Advisory" -&gt; 541611 primary; "Information Technology" -&gt; 541512 secondary; 541330 (Engineering Services) secondary reflecting OT/mission-engineering work.</t>
  </si>
  <si>
    <t xml:space="preserve">McLean, VA, USA</t>
  </si>
  <si>
    <t xml:space="preserve">35,000+ employees</t>
  </si>
  <si>
    <t xml:space="preserve">~$12.0B (FY2025, publicly traded, NYSE: BAH)</t>
  </si>
  <si>
    <t xml:space="preserve">High — strong federal/defense demand for OT and mission-assurance cybersecurity</t>
  </si>
  <si>
    <t xml:space="preserve">Very High — current/most recent employer, direct continuity for OT cybersecurity leadership roles</t>
  </si>
  <si>
    <t xml:space="preserve">Tom's current/most recent employer — direct continuity and internal network for OT cybersecurity leadership roles.</t>
  </si>
  <si>
    <t xml:space="preserve">Senior Manager / Director, OT Cybersecurity</t>
  </si>
  <si>
    <t xml:space="preserve">Direct — current internal network</t>
  </si>
  <si>
    <t xml:space="preserve">Direct internal conversation with current leadership about advancement or lateral OT-focused roles</t>
  </si>
  <si>
    <t xml:space="preserve">Direct — Tom's own current management chain (not independently re-verified this pass)</t>
  </si>
  <si>
    <t xml:space="preserve">Not a Named Executive Officer — not disclosed in Booz Allen's most recent proxy Summary Compensation Table</t>
  </si>
  <si>
    <t xml:space="preserve">Booz Allen OT cybersecurity, Booz Allen ICS federal</t>
  </si>
  <si>
    <t xml:space="preserve">Director OT Cybersecurity, Senior Manager Industrial Security</t>
  </si>
  <si>
    <t xml:space="preserve">https://www.boozallen.com; Tom's resume (current/most recent employer)</t>
  </si>
  <si>
    <t xml:space="preserve">Honeywell OT Cybersecurity</t>
  </si>
  <si>
    <t xml:space="preserve">https://www.honeywell.com/us/en/services/cybersecurity</t>
  </si>
  <si>
    <t xml:space="preserve">https://careers.honeywell.com</t>
  </si>
  <si>
    <t xml:space="preserve">Industrial Automation / OT Security</t>
  </si>
  <si>
    <t xml:space="preserve">OT cybersecurity services tied to Honeywell's own automation and process control installed base</t>
  </si>
  <si>
    <t xml:space="preserve">541512, 334513, 541690</t>
  </si>
  <si>
    <t xml:space="preserve">Keyword used: "Operational Technology" -&gt; 334513 (Industrial Process Control Instruments) reflects Honeywell's core manufacturing NAICS; 541512 primary for the cybersecurity SERVICES division specifically; 541690 secondary.</t>
  </si>
  <si>
    <t xml:space="preserve">Charlotte, NC, USA</t>
  </si>
  <si>
    <t xml:space="preserve">95,000+ employees (Honeywell overall)</t>
  </si>
  <si>
    <t xml:space="preserve">~$38.5B (FY2025, publicly traded, Nasdaq: HON, overall company)</t>
  </si>
  <si>
    <t xml:space="preserve">High — OT cybersecurity is a stated growth priority tied to Honeywell's automation/process solutions segment</t>
  </si>
  <si>
    <t xml:space="preserve">High — vendor-native OT security services with deep process-control domain expertise, aligned with Tom's Purdue Model/segmentation background</t>
  </si>
  <si>
    <t xml:space="preserve">OT Vendor / Automation Company Security Arm</t>
  </si>
  <si>
    <t xml:space="preserve">Honeywell's OT cybersecurity services division offers deep process-control domain fluency that matches Tom's engineering-grounded OT background.</t>
  </si>
  <si>
    <t xml:space="preserve">Director / Global Practice Leader, OT Cybersecurity Services</t>
  </si>
  <si>
    <t xml:space="preserve">LinkedIn 2nd-degree via industry conference contacts (Honeywell Users Group, ARC Forum)</t>
  </si>
  <si>
    <t xml:space="preserve">Approach via recruiter or LinkedIn outreach to Honeywell Cybersecurity leadership</t>
  </si>
  <si>
    <t xml:space="preserve">Named CISO/security officer per FY2025 10-K Item 1C disclosure (enterprise-wide, not OT-services-specific) — not independently re-verified this pass</t>
  </si>
  <si>
    <t xml:space="preserve">Not a Named Executive Officer — not disclosed in Honeywell's most recent proxy Summary Compensation Table</t>
  </si>
  <si>
    <t xml:space="preserve">Honeywell OT cybersecurity, Honeywell industrial security services</t>
  </si>
  <si>
    <t xml:space="preserve">Director OT Cybersecurity Services, Global Practice Leader Industrial Security</t>
  </si>
  <si>
    <t xml:space="preserve">https://www.honeywell.com; general knowledge, not independently re-verified via search this pass</t>
  </si>
  <si>
    <t xml:space="preserve">Siemens (incl. Siemens Energy / Advanta)</t>
  </si>
  <si>
    <t xml:space="preserve">https://www.siemens.com</t>
  </si>
  <si>
    <t xml:space="preserve">https://jobs.siemens.com</t>
  </si>
  <si>
    <t xml:space="preserve">Industrial Automation / Engineering</t>
  </si>
  <si>
    <t xml:space="preserve">OT security consulting via Siemens Advanta, tied to the Siemens automation ecosystem</t>
  </si>
  <si>
    <t xml:space="preserve">541690, 334513, 541611</t>
  </si>
  <si>
    <t xml:space="preserve">Keyword used: "Operational Technology" -&gt; 541690 (Advanta's OT consulting) primary; 334513 secondary reflecting Siemens' core automation manufacturing; 541611 secondary for Advanta's broader management consulting.</t>
  </si>
  <si>
    <t xml:space="preserve">Munich, Germany — global</t>
  </si>
  <si>
    <t xml:space="preserve">320,000+ employees globally (Siemens overall)</t>
  </si>
  <si>
    <t xml:space="preserve">~€75.9B (FY2025, publicly traded, XETRA: SIE, overall company)</t>
  </si>
  <si>
    <t xml:space="preserve">High — vendor-native OT security consulting with deep automation-ecosystem expertise</t>
  </si>
  <si>
    <t xml:space="preserve">Siemens Advanta's OT security consulting, tied to the Siemens automation stack, is a strong Director-level target given Tom's engineering-grounded background.</t>
  </si>
  <si>
    <t xml:space="preserve">Director / Practice Lead, OT Security Consulting (Siemens Advanta)</t>
  </si>
  <si>
    <t xml:space="preserve">LinkedIn 2nd-degree via industry conference contacts (Siemens automation ecosystem overlaps with Schneider Electric background)</t>
  </si>
  <si>
    <t xml:space="preserve">Approach via recruiter or LinkedIn outreach to Siemens Advanta Cybersecurity leadership</t>
  </si>
  <si>
    <t xml:space="preserve">Not independently verified this pass — Germany-listed (XETRA), governance disclosure differs from US 10-K/proxy format</t>
  </si>
  <si>
    <t xml:space="preserve">Siemens Advanta OT security, Siemens Energy cybersecurity</t>
  </si>
  <si>
    <t xml:space="preserve">Director OT Security Siemens Advanta, Practice Lead Industrial Cybersecurity</t>
  </si>
  <si>
    <t xml:space="preserve">https://www.siemens.com; general knowledge</t>
  </si>
  <si>
    <t xml:space="preserve">Schneider Electric</t>
  </si>
  <si>
    <t xml:space="preserve">https://www.se.com</t>
  </si>
  <si>
    <t xml:space="preserve">https://www.se.com/us/en/about-us/careers/</t>
  </si>
  <si>
    <t xml:space="preserve">Industrial Automation / Energy Management</t>
  </si>
  <si>
    <t xml:space="preserve">Global OT cybersecurity advisory services tied to Schneider's automation and energy management portfolio</t>
  </si>
  <si>
    <t xml:space="preserve">Keyword used: "Operational Technology" -&gt; 541690 primary for the OT advisory practice; 334513 secondary reflecting Schneider's core automation manufacturing; 541611 secondary.</t>
  </si>
  <si>
    <t xml:space="preserve">Rueil-Malmaison, France — global</t>
  </si>
  <si>
    <t xml:space="preserve">150,000+ employees globally</t>
  </si>
  <si>
    <t xml:space="preserve">~€38.1B (FY2025, publicly traded, Euronext Paris: SU)</t>
  </si>
  <si>
    <t xml:space="preserve">Very High — direct former employer where Tom held both Principal Consultant and Director-level roles and had full P&amp;L accountability</t>
  </si>
  <si>
    <t xml:space="preserve">Tom launched and directed Schneider Electric's global OT cybersecurity advisory practice with full P&amp;L accountability — one of the strongest warm-network fits on this list.</t>
  </si>
  <si>
    <t xml:space="preserve">Director, Global OT Cybersecurity Advisory Services (the role Tom previously held)</t>
  </si>
  <si>
    <t xml:space="preserve">Direct — former colleagues and practice team Tom built and led 2014-2016</t>
  </si>
  <si>
    <t xml:space="preserve">Direct outreach to former Schneider Electric OT cyber colleagues/leadership; leverage practice he personally launched</t>
  </si>
  <si>
    <t xml:space="preserve">Direct alumni network (not independently re-verified this pass)</t>
  </si>
  <si>
    <t xml:space="preserve">Not independently verified this pass — France-listed (Euronext Paris), governance disclosure differs from US 10-K/proxy format</t>
  </si>
  <si>
    <t xml:space="preserve">Schneider Electric OT cybersecurity, Schneider Electric advisory services</t>
  </si>
  <si>
    <t xml:space="preserve">Director Global OT Cybersecurity Advisory, VP Industrial Cybersecurity</t>
  </si>
  <si>
    <t xml:space="preserve">https://www.se.com; Tom's resume (former employer)</t>
  </si>
  <si>
    <t xml:space="preserve">Rockwell Automation</t>
  </si>
  <si>
    <t xml:space="preserve">https://www.rockwellautomation.com</t>
  </si>
  <si>
    <t xml:space="preserve">https://www.rockwellautomation.com/en-us/company/careers.html</t>
  </si>
  <si>
    <t xml:space="preserve">Industrial Automation</t>
  </si>
  <si>
    <t xml:space="preserve">OT cybersecurity services tied to Rockwell's automation portfolio, including Verve Industrial (acquired)</t>
  </si>
  <si>
    <t xml:space="preserve">541690, 334513</t>
  </si>
  <si>
    <t xml:space="preserve">Keyword used: "Operational Technology" -&gt; 541690 primary for OT cybersecurity services; 334513 secondary reflecting Rockwell's core automation manufacturing.</t>
  </si>
  <si>
    <t xml:space="preserve">Milwaukee, WI, USA</t>
  </si>
  <si>
    <t xml:space="preserve">29,000+ employees</t>
  </si>
  <si>
    <t xml:space="preserve">~$8.5B (FY2025, publicly traded, NYSE: ROK)</t>
  </si>
  <si>
    <t xml:space="preserve">Medium-High — Rockwell has been actively investing in OT cybersecurity via acquisition (Verve Industrial, 2023)</t>
  </si>
  <si>
    <t xml:space="preserve">High — vendor-native OT security with a recently strengthened bench via the Verve Industrial acquisition</t>
  </si>
  <si>
    <t xml:space="preserve">Rockwell's OT cybersecurity services, strengthened by its 2023 Verve Industrial acquisition, is a strong Director-level target for someone with Tom's OT platform and segmentation background.</t>
  </si>
  <si>
    <t xml:space="preserve">Director / Global Practice Leader, OT Cybersecurity</t>
  </si>
  <si>
    <t xml:space="preserve">LinkedIn 2nd-degree via industry conference contacts (Rockwell Automation Fair)</t>
  </si>
  <si>
    <t xml:space="preserve">Approach via recruiter or LinkedIn outreach to Rockwell Automation cybersecurity leadership</t>
  </si>
  <si>
    <t xml:space="preserve">Named CISO/security officer per FY2025 10-K Item 1C disclosure (enterprise-wide) — not independently re-verified this pass</t>
  </si>
  <si>
    <t xml:space="preserve">Not a Named Executive Officer — not disclosed in Rockwell's most recent proxy Summary Compensation Table</t>
  </si>
  <si>
    <t xml:space="preserve">Rockwell Automation OT cybersecurity, Rockwell Verve Industrial</t>
  </si>
  <si>
    <t xml:space="preserve">Director OT Cybersecurity, Global Practice Leader Industrial Security</t>
  </si>
  <si>
    <t xml:space="preserve">https://www.rockwellautomation.com; general knowledge, not independently re-verified via search this pass</t>
  </si>
  <si>
    <t xml:space="preserve">ABB</t>
  </si>
  <si>
    <t xml:space="preserve">https://global.abb</t>
  </si>
  <si>
    <t xml:space="preserve">https://global.abb/group/en/careers</t>
  </si>
  <si>
    <t xml:space="preserve">Industrial Automation / Electrification</t>
  </si>
  <si>
    <t xml:space="preserve">OT cybersecurity services tied to ABB's automation and electrification portfolio</t>
  </si>
  <si>
    <t xml:space="preserve">Keyword used: "Operational Technology" -&gt; 541690 primary for OT services; 334513 secondary reflecting ABB's core automation/electrification manufacturing.</t>
  </si>
  <si>
    <t xml:space="preserve">Zurich, Switzerland — global</t>
  </si>
  <si>
    <t xml:space="preserve">110,000+ employees globally</t>
  </si>
  <si>
    <t xml:space="preserve">~$32.6B (FY2025, publicly traded, SIX Swiss Exchange/NYSE: ABB/ABBN)</t>
  </si>
  <si>
    <t xml:space="preserve">High — vendor-native OT security with strong process-industry domain expertise</t>
  </si>
  <si>
    <t xml:space="preserve">ABB's OT cybersecurity services division offers process-industry domain expertise aligned with Tom's engineering background.</t>
  </si>
  <si>
    <t xml:space="preserve">Not independently verified this pass — Swiss-listed, governance disclosure differs from US 10-K/proxy format</t>
  </si>
  <si>
    <t xml:space="preserve">ABB OT cybersecurity, ABB industrial security services</t>
  </si>
  <si>
    <t xml:space="preserve">Director OT Cybersecurity ABB, Global Practice Leader Industrial Security</t>
  </si>
  <si>
    <t xml:space="preserve">https://global.abb; general knowledge</t>
  </si>
  <si>
    <t xml:space="preserve">Yokogawa</t>
  </si>
  <si>
    <t xml:space="preserve">https://www.yokogawa.com</t>
  </si>
  <si>
    <t xml:space="preserve">https://www.yokogawa.com/us/about-us/careers/</t>
  </si>
  <si>
    <t xml:space="preserve">OT cybersecurity services tied to Yokogawa's DCS/process control portfolio</t>
  </si>
  <si>
    <t xml:space="preserve">Keyword used: "Operational Technology" -&gt; 541690 primary for OT services; 334513 secondary reflecting Yokogawa's core process-control manufacturing.</t>
  </si>
  <si>
    <t xml:space="preserve">18,000+ employees globally</t>
  </si>
  <si>
    <t xml:space="preserve">~¥500B / ~$3.3B (FY2025 estimate, publicly traded, Tokyo Stock Exchange: 6841)</t>
  </si>
  <si>
    <t xml:space="preserve">Medium — smaller scale than Honeywell/Siemens/Schneider/Rockwell/ABB, but genuine DCS-specific OT security expertise</t>
  </si>
  <si>
    <t xml:space="preserve">Smaller-scale OT vendor security arm with genuine process-control (DCS) domain expertise.</t>
  </si>
  <si>
    <t xml:space="preserve">Director, OT Cybersecurity Services</t>
  </si>
  <si>
    <t xml:space="preserve">Not independently verified this pass — Japan-listed, governance disclosure differs from US 10-K/proxy format</t>
  </si>
  <si>
    <t xml:space="preserve">Yokogawa OT cybersecurity, Yokogawa industrial security</t>
  </si>
  <si>
    <t xml:space="preserve">Director OT Cybersecurity Yokogawa, Practice Lead Process Control Security</t>
  </si>
  <si>
    <t xml:space="preserve">https://www.yokogawa.com; general knowledge</t>
  </si>
  <si>
    <t xml:space="preserve">Emerson</t>
  </si>
  <si>
    <t xml:space="preserve">https://www.emerson.com</t>
  </si>
  <si>
    <t xml:space="preserve">https://www.emerson.com/en-us/about-us/careers</t>
  </si>
  <si>
    <t xml:space="preserve">OT cybersecurity services tied to Emerson's automation and process control portfolio</t>
  </si>
  <si>
    <t xml:space="preserve">Keyword used: "Operational Technology" -&gt; 541690 primary for OT services; 334513 secondary reflecting Emerson's core automation manufacturing.</t>
  </si>
  <si>
    <t xml:space="preserve">St. Louis, MO, USA</t>
  </si>
  <si>
    <t xml:space="preserve">59,000+ employees</t>
  </si>
  <si>
    <t xml:space="preserve">~$17.5B (FY2025, publicly traded, NYSE: EMR)</t>
  </si>
  <si>
    <t xml:space="preserve">Emerson's OT cybersecurity services division offers deep process-industry domain expertise aligned with Tom's engineering-grounded background.</t>
  </si>
  <si>
    <t xml:space="preserve">Not a Named Executive Officer — not disclosed in Emerson's most recent proxy Summary Compensation Table</t>
  </si>
  <si>
    <t xml:space="preserve">Emerson OT cybersecurity, Emerson industrial security services</t>
  </si>
  <si>
    <t xml:space="preserve">Director OT Cybersecurity Emerson, Global Practice Leader Industrial Security</t>
  </si>
  <si>
    <t xml:space="preserve">https://www.emerson.com; general knowledge, not independently re-verified via search this pass</t>
  </si>
  <si>
    <t xml:space="preserve">1898 &amp; Co. (Burns &amp; McDonnell)</t>
  </si>
  <si>
    <t xml:space="preserve">https://1898andco.burnsmcd.com</t>
  </si>
  <si>
    <t xml:space="preserve">https://burnsmcd.com/careers</t>
  </si>
  <si>
    <t xml:space="preserve">Engineering &amp; Consulting</t>
  </si>
  <si>
    <t xml:space="preserve">OT/ICS cybersecurity consulting for energy, water, and industrial clients</t>
  </si>
  <si>
    <t xml:space="preserve">541690, 541330</t>
  </si>
  <si>
    <t xml:space="preserve">Keyword used: "Operational Technology, Consulting" -&gt; 541690 primary for the OT/ICS security consulting brand; 541330 secondary reflecting parent Burns &amp; McDonnell's core engineering NAICS.</t>
  </si>
  <si>
    <t xml:space="preserve">Kansas City, MO, USA (parent Burns &amp; McDonnell)</t>
  </si>
  <si>
    <t xml:space="preserve">1898 &amp; Co. is a business unit; Burns &amp; McDonnell overall has 13,000+ employees</t>
  </si>
  <si>
    <t xml:space="preserve">Privately held (employee-owned) — revenue not publicly disclosed</t>
  </si>
  <si>
    <t xml:space="preserve">High — 1898 &amp; Co. has been actively expanding its OT/ICS security consulting practice per industry press coverage</t>
  </si>
  <si>
    <t xml:space="preserve">High — dedicated OT/ICS security consulting brand with deep energy/water sector engineering roots</t>
  </si>
  <si>
    <t xml:space="preserve">Engineering / Process Safety Firm with OT Security Practice</t>
  </si>
  <si>
    <t xml:space="preserve">1898 &amp; Co.'s dedicated OT/ICS security consulting brand, backed by Burns &amp; McDonnell's engineering depth, is a strong practice-leadership target.</t>
  </si>
  <si>
    <t xml:space="preserve">Director / Practice Lead, OT/ICS Cybersecurity</t>
  </si>
  <si>
    <t xml:space="preserve">LinkedIn 2nd-degree via industry conference contacts (energy/utility sector)</t>
  </si>
  <si>
    <t xml:space="preserve">Approach via recruiter or LinkedIn outreach to 1898 &amp; Co. leadership</t>
  </si>
  <si>
    <t xml:space="preserve">Not applicable — privately held, employee-owned; no 10-K/proxy filing</t>
  </si>
  <si>
    <t xml:space="preserve">1898 and Co OT cybersecurity, Burns McDonnell ICS security</t>
  </si>
  <si>
    <t xml:space="preserve">Director OT/ICS Cybersecurity, Practice Lead Industrial Security</t>
  </si>
  <si>
    <t xml:space="preserve">https://1898andco.burnsmcd.com; general knowledge</t>
  </si>
  <si>
    <t xml:space="preserve">ABS Group</t>
  </si>
  <si>
    <t xml:space="preserve">https://www.abs-group.com</t>
  </si>
  <si>
    <t xml:space="preserve">https://www.abs-group.com/About-Us/Careers/</t>
  </si>
  <si>
    <t xml:space="preserve">Risk &amp; Safety Consulting</t>
  </si>
  <si>
    <t xml:space="preserve">OT/ICS cybersecurity within broader industrial risk, safety, and reliability consulting</t>
  </si>
  <si>
    <t xml:space="preserve">541690, 541330, 541990</t>
  </si>
  <si>
    <t xml:space="preserve">Keyword used: "Operational Technology, Advisory" -&gt; 541690 primary; 541330 secondary reflecting engineering/risk consulting; 541990 secondary for broader industrial risk advisory.</t>
  </si>
  <si>
    <t xml:space="preserve">Spring, TX, USA</t>
  </si>
  <si>
    <t xml:space="preserve">~1,600 employees</t>
  </si>
  <si>
    <t xml:space="preserve">Privately held (subsidiary of ABS) — revenue not publicly disclosed</t>
  </si>
  <si>
    <t xml:space="preserve">Medium-High — genuine OT/ICS security practice within a well-established industrial risk/safety consultancy (maritime, energy)</t>
  </si>
  <si>
    <t xml:space="preserve">ABS Group's OT/ICS cybersecurity practice, embedded in a broader industrial risk and safety consultancy, is a solid practice-leadership target.</t>
  </si>
  <si>
    <t xml:space="preserve">Director, Cybersecurity &amp; OT Risk</t>
  </si>
  <si>
    <t xml:space="preserve">LinkedIn 2nd-degree via industry conference contacts (maritime/energy sector)</t>
  </si>
  <si>
    <t xml:space="preserve">Approach via recruiter or LinkedIn outreach to ABS Group leadership</t>
  </si>
  <si>
    <t xml:space="preserve">Not applicable — privately held subsidiary; no independent 10-K/proxy filing</t>
  </si>
  <si>
    <t xml:space="preserve">ABS Group OT cybersecurity, ABS Group industrial risk</t>
  </si>
  <si>
    <t xml:space="preserve">Director Cybersecurity OT Risk, Practice Lead Industrial Security</t>
  </si>
  <si>
    <t xml:space="preserve">https://www.abs-group.com; general knowledge</t>
  </si>
  <si>
    <t xml:space="preserve">This tab is empty by design. Discovery scope for this run was "Just enrich these" -- you asked me to research only the exact 25 companies you named, not discover additional candidates. All 25 fit within the Tier 1 size, so there's nothing left for Tier 2. If you want an expanded list, run Section 1 (Bulk Company Pull) or set Section 2's Discovery scope to "Find new companies."</t>
  </si>
  <si>
    <t xml:space="preserve">Notes &amp; Assumptions</t>
  </si>
  <si>
    <t xml:space="preserve">Tool bug found &amp; handled:</t>
  </si>
  <si>
    <t xml:space="preserve">This prompt had Discovery scope set to "Just enrich these" (research only the 25 named companies, no new candidates) but still carried Tier 1/Tier 2 output instructions -- a leftover from the prompt-builder tool's tiering setting not being cleared for enrich-only mode. Since all 25 companies fit within the default Tier 1 size (25), the practical effect is harmless: all 25 are in Tier 1, and Tier 2 is empty with an explanation. Worth fixing in the tool itself so this doesn't happen with a longer enrich-only list.</t>
  </si>
  <si>
    <t xml:space="preserve">Data reuse:</t>
  </si>
  <si>
    <t xml:space="preserve">This exact 25-company list was already fully researched in an earlier pass in this same session (same companies, same background, closely matching purpose). That research was reused here rather than re-derived from scratch, then adapted to this run's spec: NAICS expanded from a single code to up to 5 codes per company, and a new "Company Activity &amp; Events" tab was added (not present in the earlier run).</t>
  </si>
  <si>
    <t xml:space="preserve">NAICS codes:</t>
  </si>
  <si>
    <t xml:space="preserve">Up to 5 per company (1 primary + up to 4 secondary), derived from the keyword "Operational Technology"/"Information Technology"/"Consulting"/"Advisory" in your stated industry field -- see the "Why This NAICS Code" column for the keyword-to-code mapping per row. These are best-guess classification tags, not independently re-verified against each company's actual SAM.gov or IRS filing this pass.</t>
  </si>
  <si>
    <t xml:space="preserve">Company Activity &amp; Events -- honestly scoped:</t>
  </si>
  <si>
    <t xml:space="preserve">Checking all 25 companies at the full 3-search-angle depth (LinkedIn page, podcast/webinar search, conference search) would be roughly 75 searches -- not done in full this pass. I ran a smaller batch of searches across groups of companies instead. Two companies came back with real, dated, verifiable activity: Siemens (a June 11, 2026 regulatory-compliance webinar) and Booz Allen Hamilton (a July 6, 2026 ONE-ISAC joint webinar, plus a recurring OT Cybersecurity Workshop series). The other 23 companies were not individually checked at the full depth this pass, so their row says so plainly rather than reporting fabricated silence as a confirmed 'nothing found.' If you want full per-company coverage, that's best run as its own follow-up rather than folded into this pass.</t>
  </si>
  <si>
    <t xml:space="preserve">Verified vs. estimated -- carried over from prior research:</t>
  </si>
  <si>
    <t xml:space="preserve">Website, HQ, industry classification, employee-count band, and revenue figures for these companies reflect established public information but were not re-verified against a live source in this pass. 10-K CISO names and DEF 14A compensation figures were not individually re-pulled for every applicable public company -- where a column says 'per FY2025 10-K' without a named individual, treat that as 'this disclosure exists,' not a confirmed name.</t>
  </si>
  <si>
    <t xml:space="preserve">Suggested Priority Rank column:</t>
  </si>
  <si>
    <t xml:space="preserve">A mechanical score computed by formula from the five rating columns (see the cell comment on that column's header in Tier 1). Starting point only -- compare it against your own Priority Score.</t>
  </si>
  <si>
    <t xml:space="preserve">Color legend:</t>
  </si>
  <si>
    <t xml:space="preserve">Very High = darker green · High = green · Medium-High = yellow-green · Medium = yellow · Low-Medium = orange · Low = red.</t>
  </si>
  <si>
    <t xml:space="preserve">Job Posting Quick Links tab:</t>
  </si>
  <si>
    <t xml:space="preserve">Pre-built search links only -- clicking a link opens LinkedIn, Indeed, or Google with the company name and a job title already typed into the search box. Does not pull in, list, or embed any actual job postings.</t>
  </si>
  <si>
    <t xml:space="preserve">Summary — Tier 1 Companies</t>
  </si>
  <si>
    <t xml:space="preserve">Counts by Opportunity Fit</t>
  </si>
  <si>
    <t xml:space="preserve">Rating</t>
  </si>
  <si>
    <t xml:space="preserve">Count</t>
  </si>
  <si>
    <t xml:space="preserve">Counts by NAICS Code Type</t>
  </si>
  <si>
    <t xml:space="preserve">Type</t>
  </si>
  <si>
    <t xml:space="preserve">Counts by Category</t>
  </si>
  <si>
    <t xml:space="preserve">Top 5 by Suggested Priority Rank</t>
  </si>
  <si>
    <t xml:space="preserve">Rank #</t>
  </si>
  <si>
    <t xml:space="preserve">Suggested Priority Rank</t>
  </si>
  <si>
    <t xml:space="preserve">Job Title Used for Search</t>
  </si>
  <si>
    <t xml:space="preserve">LinkedIn Jobs Search</t>
  </si>
  <si>
    <t xml:space="preserve">Indeed Search</t>
  </si>
  <si>
    <t xml:space="preserve">Google Jobs Search</t>
  </si>
  <si>
    <t xml:space="preserve">Managing Director Cyber Risk OT</t>
  </si>
  <si>
    <t xml:space="preserve">Partner OT Cybersecurity</t>
  </si>
  <si>
    <t xml:space="preserve">Managing Director Cyber Security OT</t>
  </si>
  <si>
    <t xml:space="preserve">Managing Director Security OT</t>
  </si>
  <si>
    <t xml:space="preserve">Partner Cybersecurity Services OT</t>
  </si>
  <si>
    <t xml:space="preserve">VP Cybersecurity OT</t>
  </si>
  <si>
    <t xml:space="preserve">VP Security Services OT</t>
  </si>
  <si>
    <t xml:space="preserve">Practice Partner Cybersecurity OT</t>
  </si>
  <si>
    <t xml:space="preserve">Practice Director Cybersecurity OT</t>
  </si>
  <si>
    <t xml:space="preserve">Practice Leader Cybersecurity OT</t>
  </si>
  <si>
    <t xml:space="preserve">Practice Head Cybersecurity OT</t>
  </si>
  <si>
    <t xml:space="preserve">Director OT Cybersecurity</t>
  </si>
  <si>
    <t xml:space="preserve">Director OT Cybersecurity Services</t>
  </si>
  <si>
    <t xml:space="preserve">Director OT Security Siemens Advanta</t>
  </si>
  <si>
    <t xml:space="preserve">Director Global OT Cybersecurity Advisory</t>
  </si>
  <si>
    <t xml:space="preserve">Director OT Cybersecurity ABB</t>
  </si>
  <si>
    <t xml:space="preserve">Director OT Cybersecurity Yokogawa</t>
  </si>
  <si>
    <t xml:space="preserve">Director OT Cybersecurity Emerson</t>
  </si>
  <si>
    <t xml:space="preserve">Director OT/ICS Cybersecurity</t>
  </si>
  <si>
    <t xml:space="preserve">Director Cybersecurity OT Risk</t>
  </si>
  <si>
    <t xml:space="preserve">Note: pre-built search links only -- clicking a link opens LinkedIn, Indeed, or Google with the company name and a job title already typed into the search box. Does not pull in, list, or embed any actual job postings.</t>
  </si>
  <si>
    <t xml:space="preserve">Company Name</t>
  </si>
  <si>
    <t xml:space="preserve">Event Name</t>
  </si>
  <si>
    <t xml:space="preserve">Date(s)</t>
  </si>
  <si>
    <t xml:space="preserve">Location</t>
  </si>
  <si>
    <t xml:space="preserve">Format</t>
  </si>
  <si>
    <t xml:space="preserve">Relevant To</t>
  </si>
  <si>
    <t xml:space="preserve">URL</t>
  </si>
  <si>
    <t xml:space="preserve">ICS Cybersecurity Conference (SecurityWeek)</t>
  </si>
  <si>
    <t xml:space="preserve">October 6-8, 2026</t>
  </si>
  <si>
    <t xml:space="preserve">Nashville, TN, USA</t>
  </si>
  <si>
    <t xml:space="preserve">In-person</t>
  </si>
  <si>
    <t xml:space="preserve">OT Vendor / Automation Company Security Arm; Engineering / Process Safety Firm with OT Security Practice</t>
  </si>
  <si>
    <t xml:space="preserve">https://advertise.securityweek.com/ics</t>
  </si>
  <si>
    <t xml:space="preserve">S4x27</t>
  </si>
  <si>
    <t xml:space="preserve">January 2027 (exact dates TBA)</t>
  </si>
  <si>
    <t xml:space="preserve">Miami Beach, FL, USA</t>
  </si>
  <si>
    <t xml:space="preserve">OT Vendor / Automation Company Security Arm; Global Big 4 / Major Consulting</t>
  </si>
  <si>
    <t xml:space="preserve">https://s4xevents.com/</t>
  </si>
  <si>
    <t xml:space="preserve">Recent LinkedIn Activity</t>
  </si>
  <si>
    <t xml:space="preserve">Podcast / Webcast Appearances</t>
  </si>
  <si>
    <t xml:space="preserve">Upcoming Events / Tradeshows</t>
  </si>
  <si>
    <t xml:space="preserve">Source URL(s)</t>
  </si>
  <si>
    <t xml:space="preserve">Not individually checked at the full 3-angle depth this pass (see Notes tab) -- no activity reported rather than fabricated.</t>
  </si>
  <si>
    <t xml:space="preserve">No confirmed post within the last 90 days found this pass.</t>
  </si>
  <si>
    <t xml:space="preserve">ONE-ISAC and Booz Allen Hamilton joint webinar -- July 6, 2026 (per event page publish context), featuring Pia Capra, Director of OT Cybersecurity, Booz Allen Hamilton, on maritime/critical-infrastructure cyber risk. https://oneisac.org/ong-event/one-isac-and-booz-allen-hamilton-webinar/</t>
  </si>
  <si>
    <t xml:space="preserve">Booz Allen runs a recurring "Operational Technology Cybersecurity Workshop" series at multiple locations throughout the year (ongoing program, not a single dated event) -- https://www.boozallen.com/events/operational-technology-cybersecurity-workshop.html</t>
  </si>
  <si>
    <t xml:space="preserve">https://oneisac.org/ong-event/one-isac-and-booz-allen-hamilton-webinar/; https://www.boozallen.com/events/operational-technology-cybersecurity-workshop.html</t>
  </si>
  <si>
    <t xml:space="preserve">Live webinar "Navigate the state of cybersecurity regulations and standards" -- June 11, 2026, hosted by Siemens cybersecurity leaders, addressing OT/power-infrastructure regulatory compliance. https://resources.sw.siemens.com/en-US/2606-cybersecurity-services-webinar/</t>
  </si>
  <si>
    <t xml:space="preserve">No further confirmed upcoming events found this pass.</t>
  </si>
  <si>
    <t xml:space="preserve">https://resources.sw.siemens.com/en-US/2606-cybersecurity-services-webinar/</t>
  </si>
  <si>
    <t xml:space="preserve">Honesty note: only 2 of 25 companies were checked at the full 3-search-angle depth this pass (company LinkedIn page + podcast/webinar search + conference search) -- see the Notes &amp; Assumptions tab for why. The rest are marked as not individually checked rather than reported as confirmed 'no activity found.'</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</si>
</sst>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u val="single"/>
      <sz val="10"/>
      <color rgb="FF1B6FA8"/>
      <name val="Arial"/>
      <family val="0"/>
      <charset val="1"/>
    </font>
    <font>
      <sz val="10"/>
      <name val="Arial"/>
      <family val="2"/>
    </font>
    <font>
      <i val="true"/>
      <sz val="10"/>
      <color rgb="FF5B6B73"/>
      <name val="Arial"/>
      <family val="0"/>
      <charset val="1"/>
    </font>
    <font>
      <b val="true"/>
      <sz val="14"/>
      <color rgb="FF0F2D3D"/>
      <name val="Arial"/>
      <family val="0"/>
      <charset val="1"/>
    </font>
    <font>
      <b val="true"/>
      <sz val="10"/>
      <color rgb="FF0F2D3D"/>
      <name val="Arial"/>
      <family val="0"/>
      <charset val="1"/>
    </font>
    <font>
      <b val="true"/>
      <sz val="11"/>
      <color rgb="FF0F2D3D"/>
      <name val="Arial"/>
      <family val="0"/>
      <charset val="1"/>
    </font>
    <font>
      <i val="true"/>
      <sz val="9"/>
      <color rgb="FF5B6B73"/>
      <name val="Arial"/>
      <family val="0"/>
      <charset val="1"/>
    </font>
  </fonts>
  <fills count="11">
    <fill>
      <patternFill patternType="none"/>
    </fill>
    <fill>
      <patternFill patternType="gray125"/>
    </fill>
    <fill>
      <patternFill patternType="solid">
        <fgColor rgb="FF0F2D3D"/>
        <bgColor rgb="FF333333"/>
      </patternFill>
    </fill>
    <fill>
      <patternFill patternType="solid">
        <fgColor rgb="FFF2F6F8"/>
        <bgColor rgb="FFFFFFFF"/>
      </patternFill>
    </fill>
    <fill>
      <patternFill patternType="solid">
        <fgColor rgb="FFC6E8C6"/>
        <bgColor rgb="FFD7E0E5"/>
      </patternFill>
    </fill>
    <fill>
      <patternFill patternType="solid">
        <fgColor rgb="FFFFF2B2"/>
        <bgColor rgb="FFFFF9E0"/>
      </patternFill>
    </fill>
    <fill>
      <patternFill patternType="solid">
        <fgColor rgb="FFFFF9E0"/>
        <bgColor rgb="FFF2F6F8"/>
      </patternFill>
    </fill>
    <fill>
      <patternFill patternType="solid">
        <fgColor rgb="FFA9D8A9"/>
        <bgColor rgb="FFC6E8C6"/>
      </patternFill>
    </fill>
    <fill>
      <patternFill patternType="solid">
        <fgColor rgb="FFE2EFC0"/>
        <bgColor rgb="FFC6E8C6"/>
      </patternFill>
    </fill>
    <fill>
      <patternFill patternType="solid">
        <fgColor rgb="FFFBDCB8"/>
        <bgColor rgb="FFF4C7C3"/>
      </patternFill>
    </fill>
    <fill>
      <patternFill patternType="solid">
        <fgColor rgb="FFF4C7C3"/>
        <bgColor rgb="FFFBDCB8"/>
      </patternFill>
    </fill>
  </fills>
  <borders count="2">
    <border diagonalUp="false" diagonalDown="false">
      <left/>
      <right/>
      <top/>
      <bottom/>
      <diagonal/>
    </border>
    <border diagonalUp="false" diagonalDown="false">
      <left style="thin">
        <color rgb="FFD7E0E5"/>
      </left>
      <right style="thin">
        <color rgb="FFD7E0E5"/>
      </right>
      <top style="thin">
        <color rgb="FFD7E0E5"/>
      </top>
      <bottom style="thin">
        <color rgb="FFD7E0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5" fontId="5" fillId="3"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8" borderId="1" xfId="0" applyFont="true" applyBorder="true" applyAlignment="true" applyProtection="false">
      <alignment horizontal="general" vertical="top" textRotation="0" wrapText="true" indent="0" shrinkToFit="false"/>
      <protection locked="true" hidden="false"/>
    </xf>
    <xf numFmtId="164" fontId="5" fillId="9"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
    <dxf>
      <fill>
        <patternFill patternType="solid">
          <fgColor rgb="FF0F2D3D"/>
          <bgColor rgb="FF000000"/>
        </patternFill>
      </fill>
    </dxf>
    <dxf>
      <fill>
        <patternFill patternType="solid">
          <fgColor rgb="FFF2F6F8"/>
          <bgColor rgb="FF000000"/>
        </patternFill>
      </fill>
    </dxf>
    <dxf>
      <fill>
        <patternFill patternType="solid">
          <bgColor rgb="FF000000"/>
        </patternFill>
      </fill>
    </dxf>
    <dxf>
      <fill>
        <patternFill patternType="solid">
          <fgColor rgb="FFFFFFFF"/>
          <bgColor rgb="FF000000"/>
        </patternFill>
      </fill>
    </dxf>
    <dxf>
      <fill>
        <patternFill patternType="solid">
          <fgColor rgb="FF1B6FA8"/>
          <bgColor rgb="FF000000"/>
        </patternFill>
      </fill>
    </dxf>
    <dxf>
      <fill>
        <patternFill patternType="solid">
          <fgColor rgb="FFC6E8C6"/>
          <bgColor rgb="FF000000"/>
        </patternFill>
      </fill>
    </dxf>
    <dxf>
      <fill>
        <patternFill patternType="solid">
          <fgColor rgb="FFE2EFC0"/>
          <bgColor rgb="FF000000"/>
        </patternFill>
      </fill>
    </dxf>
    <dxf>
      <fill>
        <patternFill patternType="solid">
          <fgColor rgb="FFFBDCB8"/>
          <bgColor rgb="FF000000"/>
        </patternFill>
      </fill>
    </dxf>
    <dxf>
      <fill>
        <patternFill patternType="solid">
          <fgColor rgb="FFFFF2B2"/>
          <bgColor rgb="FF000000"/>
        </patternFill>
      </fill>
    </dxf>
    <dxf>
      <fill>
        <patternFill patternType="solid">
          <fgColor rgb="FFF4C7C3"/>
          <bgColor rgb="FF000000"/>
        </patternFill>
      </fill>
    </dxf>
    <dxf>
      <fill>
        <patternFill patternType="solid">
          <fgColor rgb="FFA9D8A9"/>
          <bgColor rgb="FF000000"/>
        </patternFill>
      </fill>
    </dxf>
    <dxf>
      <fill>
        <patternFill patternType="solid">
          <fgColor rgb="FFFFF9E0"/>
          <bgColor rgb="FF000000"/>
        </patternFill>
      </fill>
    </dxf>
    <dxf>
      <fill>
        <patternFill patternType="solid">
          <fgColor rgb="FF000000"/>
          <bgColor rgb="FF000000"/>
        </patternFill>
      </fill>
    </dxf>
    <dxf>
      <fill>
        <patternFill>
          <bgColor rgb="FFA9D8A9"/>
        </patternFill>
      </fill>
    </dxf>
    <dxf>
      <fill>
        <patternFill>
          <bgColor rgb="FFC6E8C6"/>
        </patternFill>
      </fill>
    </dxf>
    <dxf>
      <fill>
        <patternFill>
          <bgColor rgb="FFE2EFC0"/>
        </patternFill>
      </fill>
    </dxf>
    <dxf>
      <fill>
        <patternFill>
          <bgColor rgb="FFFFF2B2"/>
        </patternFill>
      </fill>
    </dxf>
    <dxf>
      <fill>
        <patternFill>
          <bgColor rgb="FFFBDCB8"/>
        </patternFill>
      </fill>
    </dxf>
    <dxf>
      <fill>
        <patternFill>
          <bgColor rgb="FFF4C7C3"/>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9D8A9"/>
      <rgbColor rgb="FF808080"/>
      <rgbColor rgb="FF9999FF"/>
      <rgbColor rgb="FF993366"/>
      <rgbColor rgb="FFFFF9E0"/>
      <rgbColor rgb="FFF2F6F8"/>
      <rgbColor rgb="FF660066"/>
      <rgbColor rgb="FFFF8080"/>
      <rgbColor rgb="FF1B6FA8"/>
      <rgbColor rgb="FFD7E0E5"/>
      <rgbColor rgb="FF000080"/>
      <rgbColor rgb="FFFF00FF"/>
      <rgbColor rgb="FFFFFF00"/>
      <rgbColor rgb="FF00FFFF"/>
      <rgbColor rgb="FF800080"/>
      <rgbColor rgb="FF800000"/>
      <rgbColor rgb="FF008080"/>
      <rgbColor rgb="FF0000FF"/>
      <rgbColor rgb="FF00CCFF"/>
      <rgbColor rgb="FFC6E8C6"/>
      <rgbColor rgb="FFE2EFC0"/>
      <rgbColor rgb="FFFFF2B2"/>
      <rgbColor rgb="FF99CCFF"/>
      <rgbColor rgb="FFFBDCB8"/>
      <rgbColor rgb="FFCC99FF"/>
      <rgbColor rgb="FFF4C7C3"/>
      <rgbColor rgb="FF3366FF"/>
      <rgbColor rgb="FF33CCCC"/>
      <rgbColor rgb="FF99CC00"/>
      <rgbColor rgb="FFFFCC00"/>
      <rgbColor rgb="FFFF9900"/>
      <rgbColor rgb="FFFF6600"/>
      <rgbColor rgb="FF5B6B73"/>
      <rgbColor rgb="FF969696"/>
      <rgbColor rgb="FF0F2D3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2.deloitte.com/" TargetMode="External"/><Relationship Id="rId3" Type="http://schemas.openxmlformats.org/officeDocument/2006/relationships/hyperlink" Target="https://apply.deloitte.com/careers" TargetMode="External"/><Relationship Id="rId4" Type="http://schemas.openxmlformats.org/officeDocument/2006/relationships/hyperlink" Target="https://www.ey.com/" TargetMode="External"/><Relationship Id="rId5" Type="http://schemas.openxmlformats.org/officeDocument/2006/relationships/hyperlink" Target="https://careers.ey.com/" TargetMode="External"/><Relationship Id="rId6" Type="http://schemas.openxmlformats.org/officeDocument/2006/relationships/hyperlink" Target="https://kpmg.com/" TargetMode="External"/><Relationship Id="rId7" Type="http://schemas.openxmlformats.org/officeDocument/2006/relationships/hyperlink" Target="https://kpmg.com/us/en/careers.html" TargetMode="External"/><Relationship Id="rId8" Type="http://schemas.openxmlformats.org/officeDocument/2006/relationships/hyperlink" Target="https://www.pwc.com/" TargetMode="External"/><Relationship Id="rId9" Type="http://schemas.openxmlformats.org/officeDocument/2006/relationships/hyperlink" Target="https://www.pwc.com/us/en/careers.html" TargetMode="External"/><Relationship Id="rId10" Type="http://schemas.openxmlformats.org/officeDocument/2006/relationships/hyperlink" Target="https://www.accenture.com/" TargetMode="External"/><Relationship Id="rId11" Type="http://schemas.openxmlformats.org/officeDocument/2006/relationships/hyperlink" Target="https://www.accenture.com/us-en/careers" TargetMode="External"/><Relationship Id="rId12" Type="http://schemas.openxmlformats.org/officeDocument/2006/relationships/hyperlink" Target="https://www.ibm.com/" TargetMode="External"/><Relationship Id="rId13" Type="http://schemas.openxmlformats.org/officeDocument/2006/relationships/hyperlink" Target="https://www.ibm.com/careers" TargetMode="External"/><Relationship Id="rId14" Type="http://schemas.openxmlformats.org/officeDocument/2006/relationships/hyperlink" Target="https://www.capgemini.com/" TargetMode="External"/><Relationship Id="rId15" Type="http://schemas.openxmlformats.org/officeDocument/2006/relationships/hyperlink" Target="https://www.capgemini.com/careers/" TargetMode="External"/><Relationship Id="rId16" Type="http://schemas.openxmlformats.org/officeDocument/2006/relationships/hyperlink" Target="https://www.cgi.com/" TargetMode="External"/><Relationship Id="rId17" Type="http://schemas.openxmlformats.org/officeDocument/2006/relationships/hyperlink" Target="https://www.cgi.com/en/careers" TargetMode="External"/><Relationship Id="rId18" Type="http://schemas.openxmlformats.org/officeDocument/2006/relationships/hyperlink" Target="https://eviden.com/" TargetMode="External"/><Relationship Id="rId19" Type="http://schemas.openxmlformats.org/officeDocument/2006/relationships/hyperlink" Target="https://eviden.com/careers/" TargetMode="External"/><Relationship Id="rId20" Type="http://schemas.openxmlformats.org/officeDocument/2006/relationships/hyperlink" Target="https://dxc.com/" TargetMode="External"/><Relationship Id="rId21" Type="http://schemas.openxmlformats.org/officeDocument/2006/relationships/hyperlink" Target="https://dxc.com/us/en/careers" TargetMode="External"/><Relationship Id="rId22" Type="http://schemas.openxmlformats.org/officeDocument/2006/relationships/hyperlink" Target="https://www.nttdata.com/" TargetMode="External"/><Relationship Id="rId23" Type="http://schemas.openxmlformats.org/officeDocument/2006/relationships/hyperlink" Target="https://www.nttdata.com/global/en/careers" TargetMode="External"/><Relationship Id="rId24" Type="http://schemas.openxmlformats.org/officeDocument/2006/relationships/hyperlink" Target="https://www.wipro.com/" TargetMode="External"/><Relationship Id="rId25" Type="http://schemas.openxmlformats.org/officeDocument/2006/relationships/hyperlink" Target="https://careers.wipro.com/" TargetMode="External"/><Relationship Id="rId26" Type="http://schemas.openxmlformats.org/officeDocument/2006/relationships/hyperlink" Target="https://www.hcltech.com/" TargetMode="External"/><Relationship Id="rId27" Type="http://schemas.openxmlformats.org/officeDocument/2006/relationships/hyperlink" Target="https://www.hcltech.com/careers" TargetMode="External"/><Relationship Id="rId28" Type="http://schemas.openxmlformats.org/officeDocument/2006/relationships/hyperlink" Target="https://www.infosys.com/" TargetMode="External"/><Relationship Id="rId29" Type="http://schemas.openxmlformats.org/officeDocument/2006/relationships/hyperlink" Target="https://www.infosys.com/careers" TargetMode="External"/><Relationship Id="rId30" Type="http://schemas.openxmlformats.org/officeDocument/2006/relationships/hyperlink" Target="https://www.tcs.com/" TargetMode="External"/><Relationship Id="rId31" Type="http://schemas.openxmlformats.org/officeDocument/2006/relationships/hyperlink" Target="https://www.tcs.com/careers" TargetMode="External"/><Relationship Id="rId32" Type="http://schemas.openxmlformats.org/officeDocument/2006/relationships/hyperlink" Target="https://www.boozallen.com/" TargetMode="External"/><Relationship Id="rId33" Type="http://schemas.openxmlformats.org/officeDocument/2006/relationships/hyperlink" Target="https://www.boozallen.com/careers.html" TargetMode="External"/><Relationship Id="rId34" Type="http://schemas.openxmlformats.org/officeDocument/2006/relationships/hyperlink" Target="https://www.honeywell.com/us/en/services/cybersecurity" TargetMode="External"/><Relationship Id="rId35" Type="http://schemas.openxmlformats.org/officeDocument/2006/relationships/hyperlink" Target="https://careers.honeywell.com/" TargetMode="External"/><Relationship Id="rId36" Type="http://schemas.openxmlformats.org/officeDocument/2006/relationships/hyperlink" Target="https://www.siemens.com/" TargetMode="External"/><Relationship Id="rId37" Type="http://schemas.openxmlformats.org/officeDocument/2006/relationships/hyperlink" Target="https://jobs.siemens.com/" TargetMode="External"/><Relationship Id="rId38" Type="http://schemas.openxmlformats.org/officeDocument/2006/relationships/hyperlink" Target="https://www.se.com/" TargetMode="External"/><Relationship Id="rId39" Type="http://schemas.openxmlformats.org/officeDocument/2006/relationships/hyperlink" Target="https://www.se.com/us/en/about-us/careers/" TargetMode="External"/><Relationship Id="rId40" Type="http://schemas.openxmlformats.org/officeDocument/2006/relationships/hyperlink" Target="https://www.rockwellautomation.com/" TargetMode="External"/><Relationship Id="rId41" Type="http://schemas.openxmlformats.org/officeDocument/2006/relationships/hyperlink" Target="https://www.rockwellautomation.com/en-us/company/careers.html" TargetMode="External"/><Relationship Id="rId42" Type="http://schemas.openxmlformats.org/officeDocument/2006/relationships/hyperlink" Target="https://global.abb/" TargetMode="External"/><Relationship Id="rId43" Type="http://schemas.openxmlformats.org/officeDocument/2006/relationships/hyperlink" Target="https://global.abb/group/en/careers" TargetMode="External"/><Relationship Id="rId44" Type="http://schemas.openxmlformats.org/officeDocument/2006/relationships/hyperlink" Target="https://www.yokogawa.com/" TargetMode="External"/><Relationship Id="rId45" Type="http://schemas.openxmlformats.org/officeDocument/2006/relationships/hyperlink" Target="https://www.yokogawa.com/us/about-us/careers/" TargetMode="External"/><Relationship Id="rId46" Type="http://schemas.openxmlformats.org/officeDocument/2006/relationships/hyperlink" Target="https://www.emerson.com/" TargetMode="External"/><Relationship Id="rId47" Type="http://schemas.openxmlformats.org/officeDocument/2006/relationships/hyperlink" Target="https://www.emerson.com/en-us/about-us/careers" TargetMode="External"/><Relationship Id="rId48" Type="http://schemas.openxmlformats.org/officeDocument/2006/relationships/hyperlink" Target="https://1898andco.burnsmcd.com/" TargetMode="External"/><Relationship Id="rId49" Type="http://schemas.openxmlformats.org/officeDocument/2006/relationships/hyperlink" Target="https://burnsmcd.com/careers" TargetMode="External"/><Relationship Id="rId50" Type="http://schemas.openxmlformats.org/officeDocument/2006/relationships/hyperlink" Target="https://www.abs-group.com/" TargetMode="External"/><Relationship Id="rId51" Type="http://schemas.openxmlformats.org/officeDocument/2006/relationships/hyperlink" Target="https://www.abs-group.com/About-Us/Careers/" TargetMode="External"/><Relationship Id="rId52" Type="http://schemas.openxmlformats.org/officeDocument/2006/relationships/drawing" Target="../drawings/drawing1.xml"/><Relationship Id="rId53" Type="http://schemas.openxmlformats.org/officeDocument/2006/relationships/vmlDrawing" Target="../drawings/vmlDrawing1.v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9.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24"/>
    <col collapsed="false" customWidth="true" hidden="false" outlineLevel="0" max="4" min="4" style="0" width="22"/>
    <col collapsed="false" customWidth="true" hidden="false" outlineLevel="0" max="5" min="5" style="0" width="30"/>
    <col collapsed="false" customWidth="true" hidden="false" outlineLevel="0" max="6" min="6" style="0" width="20"/>
    <col collapsed="false" customWidth="true" hidden="false" outlineLevel="0" max="7" min="7" style="0" width="13"/>
    <col collapsed="false" customWidth="true" hidden="false" outlineLevel="0" max="8" min="8" style="0" width="40"/>
    <col collapsed="false" customWidth="true" hidden="false" outlineLevel="0" max="9" min="9" style="0" width="26"/>
    <col collapsed="false" customWidth="true" hidden="false" outlineLevel="0" max="10" min="10" style="0" width="24"/>
    <col collapsed="false" customWidth="true" hidden="false" outlineLevel="0" max="14" min="11" style="0" width="34"/>
    <col collapsed="false" customWidth="true" hidden="false" outlineLevel="0" max="15" min="15" style="0" width="20"/>
    <col collapsed="false" customWidth="true" hidden="false" outlineLevel="0" max="16" min="16" style="0" width="30"/>
    <col collapsed="false" customWidth="true" hidden="false" outlineLevel="0" max="17" min="17" style="0" width="12"/>
    <col collapsed="false" customWidth="true" hidden="false" outlineLevel="0" max="18" min="18" style="0" width="28"/>
    <col collapsed="false" customWidth="true" hidden="false" outlineLevel="0" max="19" min="19" style="0" width="40"/>
    <col collapsed="false" customWidth="true" hidden="false" outlineLevel="0" max="20" min="20" style="0" width="26"/>
    <col collapsed="false" customWidth="true" hidden="false" outlineLevel="0" max="23" min="21" style="0" width="34"/>
    <col collapsed="false" customWidth="true" hidden="false" outlineLevel="0" max="24" min="24" style="0" width="30"/>
    <col collapsed="false" customWidth="true" hidden="false" outlineLevel="0" max="25" min="25" style="0" width="26"/>
    <col collapsed="false" customWidth="true" hidden="false" outlineLevel="0" max="26" min="26" style="0" width="30"/>
    <col collapsed="false" customWidth="true" hidden="false" outlineLevel="0" max="27" min="27" style="0" width="34"/>
    <col collapsed="false" customWidth="true" hidden="false" outlineLevel="0" max="28" min="28" style="0" width="12"/>
    <col collapsed="false" customWidth="true" hidden="false" outlineLevel="0" max="30" min="29" style="0" width="14"/>
    <col collapsed="false" customWidth="true" hidden="false" outlineLevel="0" max="31" min="31" style="0" width="24"/>
    <col collapsed="false" customWidth="true" hidden="false" outlineLevel="0" max="32" min="32" style="0" width="14"/>
    <col collapsed="false" customWidth="true" hidden="true" outlineLevel="0" max="38" min="33" style="0" width="13"/>
  </cols>
  <sheetData>
    <row r="1" customFormat="false" ht="33.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customFormat="false" ht="79.85" hidden="false" customHeight="false" outlineLevel="0" collapsed="false">
      <c r="A2" s="2" t="s">
        <v>38</v>
      </c>
      <c r="B2" s="3" t="s">
        <v>39</v>
      </c>
      <c r="C2" s="3" t="s">
        <v>40</v>
      </c>
      <c r="D2" s="2" t="s">
        <v>41</v>
      </c>
      <c r="E2" s="2" t="s">
        <v>42</v>
      </c>
      <c r="F2" s="2" t="s">
        <v>43</v>
      </c>
      <c r="G2" s="2" t="s">
        <v>44</v>
      </c>
      <c r="H2" s="2" t="s">
        <v>45</v>
      </c>
      <c r="I2" s="2" t="s">
        <v>46</v>
      </c>
      <c r="J2" s="2" t="s">
        <v>47</v>
      </c>
      <c r="K2" s="2" t="s">
        <v>48</v>
      </c>
      <c r="L2" s="4" t="s">
        <v>49</v>
      </c>
      <c r="M2" s="5" t="s">
        <v>50</v>
      </c>
      <c r="N2" s="6" t="s">
        <v>51</v>
      </c>
      <c r="O2" s="2"/>
      <c r="P2" s="4" t="s">
        <v>52</v>
      </c>
      <c r="Q2" s="4" t="s">
        <v>53</v>
      </c>
      <c r="R2" s="2" t="s">
        <v>54</v>
      </c>
      <c r="S2" s="2" t="s">
        <v>55</v>
      </c>
      <c r="T2" s="2" t="s">
        <v>56</v>
      </c>
      <c r="U2" s="2" t="s">
        <v>57</v>
      </c>
      <c r="V2" s="2" t="s">
        <v>58</v>
      </c>
      <c r="W2" s="2" t="s">
        <v>59</v>
      </c>
      <c r="X2" s="2" t="s">
        <v>60</v>
      </c>
      <c r="Y2" s="2" t="s">
        <v>61</v>
      </c>
      <c r="Z2" s="2" t="s">
        <v>62</v>
      </c>
      <c r="AA2" s="2" t="s">
        <v>63</v>
      </c>
      <c r="AB2" s="7"/>
      <c r="AC2" s="8" t="n">
        <f aca="false">ROUND((AK2*2)+(AJ2*2)+AVERAGE(AG2,AH2,AI2),1)</f>
        <v>18.3</v>
      </c>
      <c r="AD2" s="7"/>
      <c r="AE2" s="7"/>
      <c r="AF2" s="2" t="s">
        <v>64</v>
      </c>
      <c r="AG2" s="9" t="n">
        <f aca="false">IF(ISNUMBER(SEARCH("Very High",L2)),5,IF(ISNUMBER(SEARCH("Medium-High",L2)),3.5,IF(ISNUMBER(SEARCH("Low-Medium",L2)),2,IF(ISNUMBER(SEARCH("High",L2)),4,IF(ISNUMBER(SEARCH("Medium",L2)),3,IF(ISNUMBER(SEARCH("Low",L2)),1,0))))))</f>
        <v>4</v>
      </c>
      <c r="AH2" s="9" t="n">
        <f aca="false">IF(ISNUMBER(SEARCH("Very High",M2)),5,IF(ISNUMBER(SEARCH("Medium-High",M2)),3.5,IF(ISNUMBER(SEARCH("Low-Medium",M2)),2,IF(ISNUMBER(SEARCH("High",M2)),4,IF(ISNUMBER(SEARCH("Medium",M2)),3,IF(ISNUMBER(SEARCH("Low",M2)),1,0))))))</f>
        <v>3</v>
      </c>
      <c r="AI2" s="9" t="n">
        <f aca="false">IF(ISNUMBER(SEARCH("Very High",N2)),5,IF(ISNUMBER(SEARCH("Medium-High",N2)),3.5,IF(ISNUMBER(SEARCH("Low-Medium",N2)),2,IF(ISNUMBER(SEARCH("High",N2)),4,IF(ISNUMBER(SEARCH("Medium",N2)),3,IF(ISNUMBER(SEARCH("Low",N2)),1,0))))))</f>
        <v>0</v>
      </c>
      <c r="AJ2" s="9" t="n">
        <f aca="false">IF(ISNUMBER(SEARCH("Very High",P2)),5,IF(ISNUMBER(SEARCH("Medium-High",P2)),3.5,IF(ISNUMBER(SEARCH("Low-Medium",P2)),2,IF(ISNUMBER(SEARCH("High",P2)),4,IF(ISNUMBER(SEARCH("Medium",P2)),3,IF(ISNUMBER(SEARCH("Low",P2)),1,0))))))</f>
        <v>4</v>
      </c>
      <c r="AK2" s="9" t="n">
        <f aca="false">IF(ISNUMBER(SEARCH("Very High",Q2)),5,IF(ISNUMBER(SEARCH("Medium-High",Q2)),3.5,IF(ISNUMBER(SEARCH("Low-Medium",Q2)),2,IF(ISNUMBER(SEARCH("High",Q2)),4,IF(ISNUMBER(SEARCH("Medium",Q2)),3,IF(ISNUMBER(SEARCH("Low",Q2)),1,0))))))</f>
        <v>4</v>
      </c>
      <c r="AL2" s="9" t="n">
        <f aca="false">AC2+ROW()/10000000</f>
        <v>18.3000002</v>
      </c>
    </row>
    <row r="3" customFormat="false" ht="46.25" hidden="false" customHeight="false" outlineLevel="0" collapsed="false">
      <c r="A3" s="6" t="s">
        <v>65</v>
      </c>
      <c r="B3" s="10" t="s">
        <v>66</v>
      </c>
      <c r="C3" s="10" t="s">
        <v>67</v>
      </c>
      <c r="D3" s="6" t="s">
        <v>68</v>
      </c>
      <c r="E3" s="6" t="s">
        <v>69</v>
      </c>
      <c r="F3" s="6" t="s">
        <v>43</v>
      </c>
      <c r="G3" s="6" t="s">
        <v>44</v>
      </c>
      <c r="H3" s="6" t="s">
        <v>70</v>
      </c>
      <c r="I3" s="6" t="s">
        <v>71</v>
      </c>
      <c r="J3" s="6" t="s">
        <v>47</v>
      </c>
      <c r="K3" s="6" t="s">
        <v>72</v>
      </c>
      <c r="L3" s="4" t="s">
        <v>73</v>
      </c>
      <c r="M3" s="5" t="s">
        <v>74</v>
      </c>
      <c r="N3" s="6" t="s">
        <v>51</v>
      </c>
      <c r="O3" s="6"/>
      <c r="P3" s="11" t="s">
        <v>75</v>
      </c>
      <c r="Q3" s="4" t="s">
        <v>53</v>
      </c>
      <c r="R3" s="6" t="s">
        <v>76</v>
      </c>
      <c r="S3" s="6" t="s">
        <v>77</v>
      </c>
      <c r="T3" s="6" t="s">
        <v>78</v>
      </c>
      <c r="U3" s="6" t="s">
        <v>79</v>
      </c>
      <c r="V3" s="6" t="s">
        <v>80</v>
      </c>
      <c r="W3" s="6" t="s">
        <v>81</v>
      </c>
      <c r="X3" s="6" t="s">
        <v>82</v>
      </c>
      <c r="Y3" s="6" t="s">
        <v>83</v>
      </c>
      <c r="Z3" s="6" t="s">
        <v>84</v>
      </c>
      <c r="AA3" s="6" t="s">
        <v>85</v>
      </c>
      <c r="AB3" s="7"/>
      <c r="AC3" s="12" t="n">
        <f aca="false">ROUND((AK3*2)+(AJ3*2)+AVERAGE(AG3,AH3,AI3),1)</f>
        <v>20.3</v>
      </c>
      <c r="AD3" s="7"/>
      <c r="AE3" s="7"/>
      <c r="AF3" s="6" t="s">
        <v>64</v>
      </c>
      <c r="AG3" s="9" t="n">
        <f aca="false">IF(ISNUMBER(SEARCH("Very High",L3)),5,IF(ISNUMBER(SEARCH("Medium-High",L3)),3.5,IF(ISNUMBER(SEARCH("Low-Medium",L3)),2,IF(ISNUMBER(SEARCH("High",L3)),4,IF(ISNUMBER(SEARCH("Medium",L3)),3,IF(ISNUMBER(SEARCH("Low",L3)),1,0))))))</f>
        <v>4</v>
      </c>
      <c r="AH3" s="9" t="n">
        <f aca="false">IF(ISNUMBER(SEARCH("Very High",M3)),5,IF(ISNUMBER(SEARCH("Medium-High",M3)),3.5,IF(ISNUMBER(SEARCH("Low-Medium",M3)),2,IF(ISNUMBER(SEARCH("High",M3)),4,IF(ISNUMBER(SEARCH("Medium",M3)),3,IF(ISNUMBER(SEARCH("Low",M3)),1,0))))))</f>
        <v>3</v>
      </c>
      <c r="AI3" s="9" t="n">
        <f aca="false">IF(ISNUMBER(SEARCH("Very High",N3)),5,IF(ISNUMBER(SEARCH("Medium-High",N3)),3.5,IF(ISNUMBER(SEARCH("Low-Medium",N3)),2,IF(ISNUMBER(SEARCH("High",N3)),4,IF(ISNUMBER(SEARCH("Medium",N3)),3,IF(ISNUMBER(SEARCH("Low",N3)),1,0))))))</f>
        <v>0</v>
      </c>
      <c r="AJ3" s="9" t="n">
        <f aca="false">IF(ISNUMBER(SEARCH("Very High",P3)),5,IF(ISNUMBER(SEARCH("Medium-High",P3)),3.5,IF(ISNUMBER(SEARCH("Low-Medium",P3)),2,IF(ISNUMBER(SEARCH("High",P3)),4,IF(ISNUMBER(SEARCH("Medium",P3)),3,IF(ISNUMBER(SEARCH("Low",P3)),1,0))))))</f>
        <v>5</v>
      </c>
      <c r="AK3" s="9" t="n">
        <f aca="false">IF(ISNUMBER(SEARCH("Very High",Q3)),5,IF(ISNUMBER(SEARCH("Medium-High",Q3)),3.5,IF(ISNUMBER(SEARCH("Low-Medium",Q3)),2,IF(ISNUMBER(SEARCH("High",Q3)),4,IF(ISNUMBER(SEARCH("Medium",Q3)),3,IF(ISNUMBER(SEARCH("Low",Q3)),1,0))))))</f>
        <v>4</v>
      </c>
      <c r="AL3" s="9" t="n">
        <f aca="false">AC3+ROW()/10000000</f>
        <v>20.3000003</v>
      </c>
    </row>
    <row r="4" customFormat="false" ht="46.25" hidden="false" customHeight="false" outlineLevel="0" collapsed="false">
      <c r="A4" s="2" t="s">
        <v>86</v>
      </c>
      <c r="B4" s="3" t="s">
        <v>87</v>
      </c>
      <c r="C4" s="3" t="s">
        <v>88</v>
      </c>
      <c r="D4" s="2" t="s">
        <v>68</v>
      </c>
      <c r="E4" s="2" t="s">
        <v>89</v>
      </c>
      <c r="F4" s="2" t="s">
        <v>43</v>
      </c>
      <c r="G4" s="2" t="s">
        <v>44</v>
      </c>
      <c r="H4" s="2" t="s">
        <v>90</v>
      </c>
      <c r="I4" s="2" t="s">
        <v>91</v>
      </c>
      <c r="J4" s="2" t="s">
        <v>92</v>
      </c>
      <c r="K4" s="2" t="s">
        <v>93</v>
      </c>
      <c r="L4" s="13" t="s">
        <v>94</v>
      </c>
      <c r="M4" s="5" t="s">
        <v>74</v>
      </c>
      <c r="N4" s="6" t="s">
        <v>51</v>
      </c>
      <c r="O4" s="2"/>
      <c r="P4" s="13" t="s">
        <v>95</v>
      </c>
      <c r="Q4" s="13" t="s">
        <v>94</v>
      </c>
      <c r="R4" s="2" t="s">
        <v>54</v>
      </c>
      <c r="S4" s="2" t="s">
        <v>96</v>
      </c>
      <c r="T4" s="2" t="s">
        <v>97</v>
      </c>
      <c r="U4" s="2" t="s">
        <v>98</v>
      </c>
      <c r="V4" s="2" t="s">
        <v>99</v>
      </c>
      <c r="W4" s="2" t="s">
        <v>100</v>
      </c>
      <c r="X4" s="2" t="s">
        <v>101</v>
      </c>
      <c r="Y4" s="2" t="s">
        <v>102</v>
      </c>
      <c r="Z4" s="2" t="s">
        <v>103</v>
      </c>
      <c r="AA4" s="2" t="s">
        <v>104</v>
      </c>
      <c r="AB4" s="7"/>
      <c r="AC4" s="8" t="n">
        <f aca="false">ROUND((AK4*2)+(AJ4*2)+AVERAGE(AG4,AH4,AI4),1)</f>
        <v>16.2</v>
      </c>
      <c r="AD4" s="7"/>
      <c r="AE4" s="7"/>
      <c r="AF4" s="2" t="s">
        <v>64</v>
      </c>
      <c r="AG4" s="9" t="n">
        <f aca="false">IF(ISNUMBER(SEARCH("Very High",L4)),5,IF(ISNUMBER(SEARCH("Medium-High",L4)),3.5,IF(ISNUMBER(SEARCH("Low-Medium",L4)),2,IF(ISNUMBER(SEARCH("High",L4)),4,IF(ISNUMBER(SEARCH("Medium",L4)),3,IF(ISNUMBER(SEARCH("Low",L4)),1,0))))))</f>
        <v>3.5</v>
      </c>
      <c r="AH4" s="9" t="n">
        <f aca="false">IF(ISNUMBER(SEARCH("Very High",M4)),5,IF(ISNUMBER(SEARCH("Medium-High",M4)),3.5,IF(ISNUMBER(SEARCH("Low-Medium",M4)),2,IF(ISNUMBER(SEARCH("High",M4)),4,IF(ISNUMBER(SEARCH("Medium",M4)),3,IF(ISNUMBER(SEARCH("Low",M4)),1,0))))))</f>
        <v>3</v>
      </c>
      <c r="AI4" s="9" t="n">
        <f aca="false">IF(ISNUMBER(SEARCH("Very High",N4)),5,IF(ISNUMBER(SEARCH("Medium-High",N4)),3.5,IF(ISNUMBER(SEARCH("Low-Medium",N4)),2,IF(ISNUMBER(SEARCH("High",N4)),4,IF(ISNUMBER(SEARCH("Medium",N4)),3,IF(ISNUMBER(SEARCH("Low",N4)),1,0))))))</f>
        <v>0</v>
      </c>
      <c r="AJ4" s="9" t="n">
        <f aca="false">IF(ISNUMBER(SEARCH("Very High",P4)),5,IF(ISNUMBER(SEARCH("Medium-High",P4)),3.5,IF(ISNUMBER(SEARCH("Low-Medium",P4)),2,IF(ISNUMBER(SEARCH("High",P4)),4,IF(ISNUMBER(SEARCH("Medium",P4)),3,IF(ISNUMBER(SEARCH("Low",P4)),1,0))))))</f>
        <v>3.5</v>
      </c>
      <c r="AK4" s="9" t="n">
        <f aca="false">IF(ISNUMBER(SEARCH("Very High",Q4)),5,IF(ISNUMBER(SEARCH("Medium-High",Q4)),3.5,IF(ISNUMBER(SEARCH("Low-Medium",Q4)),2,IF(ISNUMBER(SEARCH("High",Q4)),4,IF(ISNUMBER(SEARCH("Medium",Q4)),3,IF(ISNUMBER(SEARCH("Low",Q4)),1,0))))))</f>
        <v>3.5</v>
      </c>
      <c r="AL4" s="9" t="n">
        <f aca="false">AC4+ROW()/10000000</f>
        <v>16.2000004</v>
      </c>
    </row>
    <row r="5" customFormat="false" ht="46.25" hidden="false" customHeight="false" outlineLevel="0" collapsed="false">
      <c r="A5" s="6" t="s">
        <v>105</v>
      </c>
      <c r="B5" s="10" t="s">
        <v>106</v>
      </c>
      <c r="C5" s="10" t="s">
        <v>107</v>
      </c>
      <c r="D5" s="6" t="s">
        <v>68</v>
      </c>
      <c r="E5" s="6" t="s">
        <v>108</v>
      </c>
      <c r="F5" s="6" t="s">
        <v>43</v>
      </c>
      <c r="G5" s="6" t="s">
        <v>44</v>
      </c>
      <c r="H5" s="6" t="s">
        <v>109</v>
      </c>
      <c r="I5" s="6" t="s">
        <v>110</v>
      </c>
      <c r="J5" s="6" t="s">
        <v>111</v>
      </c>
      <c r="K5" s="6" t="s">
        <v>112</v>
      </c>
      <c r="L5" s="13" t="s">
        <v>94</v>
      </c>
      <c r="M5" s="5" t="s">
        <v>74</v>
      </c>
      <c r="N5" s="6" t="s">
        <v>51</v>
      </c>
      <c r="O5" s="6"/>
      <c r="P5" s="13" t="s">
        <v>113</v>
      </c>
      <c r="Q5" s="13" t="s">
        <v>94</v>
      </c>
      <c r="R5" s="6" t="s">
        <v>54</v>
      </c>
      <c r="S5" s="6" t="s">
        <v>114</v>
      </c>
      <c r="T5" s="6" t="s">
        <v>56</v>
      </c>
      <c r="U5" s="6" t="s">
        <v>115</v>
      </c>
      <c r="V5" s="6" t="s">
        <v>99</v>
      </c>
      <c r="W5" s="6" t="s">
        <v>100</v>
      </c>
      <c r="X5" s="6" t="s">
        <v>116</v>
      </c>
      <c r="Y5" s="6" t="s">
        <v>117</v>
      </c>
      <c r="Z5" s="6" t="s">
        <v>118</v>
      </c>
      <c r="AA5" s="6" t="s">
        <v>119</v>
      </c>
      <c r="AB5" s="7"/>
      <c r="AC5" s="12" t="n">
        <f aca="false">ROUND((AK5*2)+(AJ5*2)+AVERAGE(AG5,AH5,AI5),1)</f>
        <v>16.2</v>
      </c>
      <c r="AD5" s="7"/>
      <c r="AE5" s="7"/>
      <c r="AF5" s="6" t="s">
        <v>64</v>
      </c>
      <c r="AG5" s="9" t="n">
        <f aca="false">IF(ISNUMBER(SEARCH("Very High",L5)),5,IF(ISNUMBER(SEARCH("Medium-High",L5)),3.5,IF(ISNUMBER(SEARCH("Low-Medium",L5)),2,IF(ISNUMBER(SEARCH("High",L5)),4,IF(ISNUMBER(SEARCH("Medium",L5)),3,IF(ISNUMBER(SEARCH("Low",L5)),1,0))))))</f>
        <v>3.5</v>
      </c>
      <c r="AH5" s="9" t="n">
        <f aca="false">IF(ISNUMBER(SEARCH("Very High",M5)),5,IF(ISNUMBER(SEARCH("Medium-High",M5)),3.5,IF(ISNUMBER(SEARCH("Low-Medium",M5)),2,IF(ISNUMBER(SEARCH("High",M5)),4,IF(ISNUMBER(SEARCH("Medium",M5)),3,IF(ISNUMBER(SEARCH("Low",M5)),1,0))))))</f>
        <v>3</v>
      </c>
      <c r="AI5" s="9" t="n">
        <f aca="false">IF(ISNUMBER(SEARCH("Very High",N5)),5,IF(ISNUMBER(SEARCH("Medium-High",N5)),3.5,IF(ISNUMBER(SEARCH("Low-Medium",N5)),2,IF(ISNUMBER(SEARCH("High",N5)),4,IF(ISNUMBER(SEARCH("Medium",N5)),3,IF(ISNUMBER(SEARCH("Low",N5)),1,0))))))</f>
        <v>0</v>
      </c>
      <c r="AJ5" s="9" t="n">
        <f aca="false">IF(ISNUMBER(SEARCH("Very High",P5)),5,IF(ISNUMBER(SEARCH("Medium-High",P5)),3.5,IF(ISNUMBER(SEARCH("Low-Medium",P5)),2,IF(ISNUMBER(SEARCH("High",P5)),4,IF(ISNUMBER(SEARCH("Medium",P5)),3,IF(ISNUMBER(SEARCH("Low",P5)),1,0))))))</f>
        <v>3.5</v>
      </c>
      <c r="AK5" s="9" t="n">
        <f aca="false">IF(ISNUMBER(SEARCH("Very High",Q5)),5,IF(ISNUMBER(SEARCH("Medium-High",Q5)),3.5,IF(ISNUMBER(SEARCH("Low-Medium",Q5)),2,IF(ISNUMBER(SEARCH("High",Q5)),4,IF(ISNUMBER(SEARCH("Medium",Q5)),3,IF(ISNUMBER(SEARCH("Low",Q5)),1,0))))))</f>
        <v>3.5</v>
      </c>
      <c r="AL5" s="9" t="n">
        <f aca="false">AC5+ROW()/10000000</f>
        <v>16.2000005</v>
      </c>
    </row>
    <row r="6" customFormat="false" ht="68.65" hidden="false" customHeight="false" outlineLevel="0" collapsed="false">
      <c r="A6" s="2" t="s">
        <v>120</v>
      </c>
      <c r="B6" s="3" t="s">
        <v>121</v>
      </c>
      <c r="C6" s="3" t="s">
        <v>122</v>
      </c>
      <c r="D6" s="2" t="s">
        <v>123</v>
      </c>
      <c r="E6" s="2" t="s">
        <v>124</v>
      </c>
      <c r="F6" s="2" t="s">
        <v>125</v>
      </c>
      <c r="G6" s="2" t="s">
        <v>44</v>
      </c>
      <c r="H6" s="2" t="s">
        <v>126</v>
      </c>
      <c r="I6" s="2" t="s">
        <v>127</v>
      </c>
      <c r="J6" s="2" t="s">
        <v>128</v>
      </c>
      <c r="K6" s="2" t="s">
        <v>129</v>
      </c>
      <c r="L6" s="4" t="s">
        <v>130</v>
      </c>
      <c r="M6" s="13" t="s">
        <v>94</v>
      </c>
      <c r="N6" s="6" t="s">
        <v>51</v>
      </c>
      <c r="O6" s="2"/>
      <c r="P6" s="11" t="s">
        <v>131</v>
      </c>
      <c r="Q6" s="4" t="s">
        <v>53</v>
      </c>
      <c r="R6" s="2" t="s">
        <v>76</v>
      </c>
      <c r="S6" s="2" t="s">
        <v>132</v>
      </c>
      <c r="T6" s="2" t="s">
        <v>133</v>
      </c>
      <c r="U6" s="2" t="s">
        <v>134</v>
      </c>
      <c r="V6" s="2" t="s">
        <v>135</v>
      </c>
      <c r="W6" s="2" t="s">
        <v>136</v>
      </c>
      <c r="X6" s="2" t="s">
        <v>137</v>
      </c>
      <c r="Y6" s="2" t="s">
        <v>138</v>
      </c>
      <c r="Z6" s="2" t="s">
        <v>139</v>
      </c>
      <c r="AA6" s="2" t="s">
        <v>140</v>
      </c>
      <c r="AB6" s="7"/>
      <c r="AC6" s="8" t="n">
        <f aca="false">ROUND((AK6*2)+(AJ6*2)+AVERAGE(AG6,AH6,AI6),1)</f>
        <v>20.5</v>
      </c>
      <c r="AD6" s="7"/>
      <c r="AE6" s="7"/>
      <c r="AF6" s="2" t="s">
        <v>64</v>
      </c>
      <c r="AG6" s="9" t="n">
        <f aca="false">IF(ISNUMBER(SEARCH("Very High",L6)),5,IF(ISNUMBER(SEARCH("Medium-High",L6)),3.5,IF(ISNUMBER(SEARCH("Low-Medium",L6)),2,IF(ISNUMBER(SEARCH("High",L6)),4,IF(ISNUMBER(SEARCH("Medium",L6)),3,IF(ISNUMBER(SEARCH("Low",L6)),1,0))))))</f>
        <v>4</v>
      </c>
      <c r="AH6" s="9" t="n">
        <f aca="false">IF(ISNUMBER(SEARCH("Very High",M6)),5,IF(ISNUMBER(SEARCH("Medium-High",M6)),3.5,IF(ISNUMBER(SEARCH("Low-Medium",M6)),2,IF(ISNUMBER(SEARCH("High",M6)),4,IF(ISNUMBER(SEARCH("Medium",M6)),3,IF(ISNUMBER(SEARCH("Low",M6)),1,0))))))</f>
        <v>3.5</v>
      </c>
      <c r="AI6" s="9" t="n">
        <f aca="false">IF(ISNUMBER(SEARCH("Very High",N6)),5,IF(ISNUMBER(SEARCH("Medium-High",N6)),3.5,IF(ISNUMBER(SEARCH("Low-Medium",N6)),2,IF(ISNUMBER(SEARCH("High",N6)),4,IF(ISNUMBER(SEARCH("Medium",N6)),3,IF(ISNUMBER(SEARCH("Low",N6)),1,0))))))</f>
        <v>0</v>
      </c>
      <c r="AJ6" s="9" t="n">
        <f aca="false">IF(ISNUMBER(SEARCH("Very High",P6)),5,IF(ISNUMBER(SEARCH("Medium-High",P6)),3.5,IF(ISNUMBER(SEARCH("Low-Medium",P6)),2,IF(ISNUMBER(SEARCH("High",P6)),4,IF(ISNUMBER(SEARCH("Medium",P6)),3,IF(ISNUMBER(SEARCH("Low",P6)),1,0))))))</f>
        <v>5</v>
      </c>
      <c r="AK6" s="9" t="n">
        <f aca="false">IF(ISNUMBER(SEARCH("Very High",Q6)),5,IF(ISNUMBER(SEARCH("Medium-High",Q6)),3.5,IF(ISNUMBER(SEARCH("Low-Medium",Q6)),2,IF(ISNUMBER(SEARCH("High",Q6)),4,IF(ISNUMBER(SEARCH("Medium",Q6)),3,IF(ISNUMBER(SEARCH("Low",Q6)),1,0))))))</f>
        <v>4</v>
      </c>
      <c r="AL6" s="9" t="n">
        <f aca="false">AC6+ROW()/10000000</f>
        <v>20.5000006</v>
      </c>
    </row>
    <row r="7" customFormat="false" ht="79.85" hidden="false" customHeight="false" outlineLevel="0" collapsed="false">
      <c r="A7" s="6" t="s">
        <v>141</v>
      </c>
      <c r="B7" s="10" t="s">
        <v>142</v>
      </c>
      <c r="C7" s="10" t="s">
        <v>143</v>
      </c>
      <c r="D7" s="6" t="s">
        <v>144</v>
      </c>
      <c r="E7" s="6" t="s">
        <v>145</v>
      </c>
      <c r="F7" s="6" t="s">
        <v>146</v>
      </c>
      <c r="G7" s="6" t="s">
        <v>44</v>
      </c>
      <c r="H7" s="6" t="s">
        <v>147</v>
      </c>
      <c r="I7" s="6" t="s">
        <v>148</v>
      </c>
      <c r="J7" s="6" t="s">
        <v>149</v>
      </c>
      <c r="K7" s="6" t="s">
        <v>150</v>
      </c>
      <c r="L7" s="13" t="s">
        <v>94</v>
      </c>
      <c r="M7" s="5" t="s">
        <v>74</v>
      </c>
      <c r="N7" s="6" t="s">
        <v>51</v>
      </c>
      <c r="O7" s="6"/>
      <c r="P7" s="13" t="s">
        <v>151</v>
      </c>
      <c r="Q7" s="13" t="s">
        <v>94</v>
      </c>
      <c r="R7" s="6" t="s">
        <v>152</v>
      </c>
      <c r="S7" s="6" t="s">
        <v>153</v>
      </c>
      <c r="T7" s="6" t="s">
        <v>154</v>
      </c>
      <c r="U7" s="6" t="s">
        <v>155</v>
      </c>
      <c r="V7" s="6" t="s">
        <v>156</v>
      </c>
      <c r="W7" s="6" t="s">
        <v>157</v>
      </c>
      <c r="X7" s="6" t="s">
        <v>158</v>
      </c>
      <c r="Y7" s="6" t="s">
        <v>159</v>
      </c>
      <c r="Z7" s="6" t="s">
        <v>160</v>
      </c>
      <c r="AA7" s="6" t="s">
        <v>161</v>
      </c>
      <c r="AB7" s="7"/>
      <c r="AC7" s="12" t="n">
        <f aca="false">ROUND((AK7*2)+(AJ7*2)+AVERAGE(AG7,AH7,AI7),1)</f>
        <v>16.2</v>
      </c>
      <c r="AD7" s="7"/>
      <c r="AE7" s="7"/>
      <c r="AF7" s="6" t="s">
        <v>64</v>
      </c>
      <c r="AG7" s="9" t="n">
        <f aca="false">IF(ISNUMBER(SEARCH("Very High",L7)),5,IF(ISNUMBER(SEARCH("Medium-High",L7)),3.5,IF(ISNUMBER(SEARCH("Low-Medium",L7)),2,IF(ISNUMBER(SEARCH("High",L7)),4,IF(ISNUMBER(SEARCH("Medium",L7)),3,IF(ISNUMBER(SEARCH("Low",L7)),1,0))))))</f>
        <v>3.5</v>
      </c>
      <c r="AH7" s="9" t="n">
        <f aca="false">IF(ISNUMBER(SEARCH("Very High",M7)),5,IF(ISNUMBER(SEARCH("Medium-High",M7)),3.5,IF(ISNUMBER(SEARCH("Low-Medium",M7)),2,IF(ISNUMBER(SEARCH("High",M7)),4,IF(ISNUMBER(SEARCH("Medium",M7)),3,IF(ISNUMBER(SEARCH("Low",M7)),1,0))))))</f>
        <v>3</v>
      </c>
      <c r="AI7" s="9" t="n">
        <f aca="false">IF(ISNUMBER(SEARCH("Very High",N7)),5,IF(ISNUMBER(SEARCH("Medium-High",N7)),3.5,IF(ISNUMBER(SEARCH("Low-Medium",N7)),2,IF(ISNUMBER(SEARCH("High",N7)),4,IF(ISNUMBER(SEARCH("Medium",N7)),3,IF(ISNUMBER(SEARCH("Low",N7)),1,0))))))</f>
        <v>0</v>
      </c>
      <c r="AJ7" s="9" t="n">
        <f aca="false">IF(ISNUMBER(SEARCH("Very High",P7)),5,IF(ISNUMBER(SEARCH("Medium-High",P7)),3.5,IF(ISNUMBER(SEARCH("Low-Medium",P7)),2,IF(ISNUMBER(SEARCH("High",P7)),4,IF(ISNUMBER(SEARCH("Medium",P7)),3,IF(ISNUMBER(SEARCH("Low",P7)),1,0))))))</f>
        <v>3.5</v>
      </c>
      <c r="AK7" s="9" t="n">
        <f aca="false">IF(ISNUMBER(SEARCH("Very High",Q7)),5,IF(ISNUMBER(SEARCH("Medium-High",Q7)),3.5,IF(ISNUMBER(SEARCH("Low-Medium",Q7)),2,IF(ISNUMBER(SEARCH("High",Q7)),4,IF(ISNUMBER(SEARCH("Medium",Q7)),3,IF(ISNUMBER(SEARCH("Low",Q7)),1,0))))))</f>
        <v>3.5</v>
      </c>
      <c r="AL7" s="9" t="n">
        <f aca="false">AC7+ROW()/10000000</f>
        <v>16.2000007</v>
      </c>
    </row>
    <row r="8" customFormat="false" ht="57.45" hidden="false" customHeight="false" outlineLevel="0" collapsed="false">
      <c r="A8" s="2" t="s">
        <v>162</v>
      </c>
      <c r="B8" s="3" t="s">
        <v>163</v>
      </c>
      <c r="C8" s="3" t="s">
        <v>164</v>
      </c>
      <c r="D8" s="2" t="s">
        <v>165</v>
      </c>
      <c r="E8" s="2" t="s">
        <v>166</v>
      </c>
      <c r="F8" s="2" t="s">
        <v>167</v>
      </c>
      <c r="G8" s="2" t="s">
        <v>44</v>
      </c>
      <c r="H8" s="2" t="s">
        <v>168</v>
      </c>
      <c r="I8" s="2" t="s">
        <v>169</v>
      </c>
      <c r="J8" s="2" t="s">
        <v>170</v>
      </c>
      <c r="K8" s="2" t="s">
        <v>171</v>
      </c>
      <c r="L8" s="5" t="s">
        <v>74</v>
      </c>
      <c r="M8" s="5" t="s">
        <v>74</v>
      </c>
      <c r="N8" s="6" t="s">
        <v>51</v>
      </c>
      <c r="O8" s="2"/>
      <c r="P8" s="5" t="s">
        <v>172</v>
      </c>
      <c r="Q8" s="5" t="s">
        <v>74</v>
      </c>
      <c r="R8" s="2" t="s">
        <v>173</v>
      </c>
      <c r="S8" s="2" t="s">
        <v>174</v>
      </c>
      <c r="T8" s="2" t="s">
        <v>175</v>
      </c>
      <c r="U8" s="2" t="s">
        <v>176</v>
      </c>
      <c r="V8" s="2" t="s">
        <v>177</v>
      </c>
      <c r="W8" s="2" t="s">
        <v>100</v>
      </c>
      <c r="X8" s="2" t="s">
        <v>178</v>
      </c>
      <c r="Y8" s="2" t="s">
        <v>179</v>
      </c>
      <c r="Z8" s="2" t="s">
        <v>180</v>
      </c>
      <c r="AA8" s="2" t="s">
        <v>181</v>
      </c>
      <c r="AB8" s="7"/>
      <c r="AC8" s="8" t="n">
        <f aca="false">ROUND((AK8*2)+(AJ8*2)+AVERAGE(AG8,AH8,AI8),1)</f>
        <v>14</v>
      </c>
      <c r="AD8" s="7"/>
      <c r="AE8" s="7"/>
      <c r="AF8" s="2" t="s">
        <v>64</v>
      </c>
      <c r="AG8" s="9" t="n">
        <f aca="false">IF(ISNUMBER(SEARCH("Very High",L8)),5,IF(ISNUMBER(SEARCH("Medium-High",L8)),3.5,IF(ISNUMBER(SEARCH("Low-Medium",L8)),2,IF(ISNUMBER(SEARCH("High",L8)),4,IF(ISNUMBER(SEARCH("Medium",L8)),3,IF(ISNUMBER(SEARCH("Low",L8)),1,0))))))</f>
        <v>3</v>
      </c>
      <c r="AH8" s="9" t="n">
        <f aca="false">IF(ISNUMBER(SEARCH("Very High",M8)),5,IF(ISNUMBER(SEARCH("Medium-High",M8)),3.5,IF(ISNUMBER(SEARCH("Low-Medium",M8)),2,IF(ISNUMBER(SEARCH("High",M8)),4,IF(ISNUMBER(SEARCH("Medium",M8)),3,IF(ISNUMBER(SEARCH("Low",M8)),1,0))))))</f>
        <v>3</v>
      </c>
      <c r="AI8" s="9" t="n">
        <f aca="false">IF(ISNUMBER(SEARCH("Very High",N8)),5,IF(ISNUMBER(SEARCH("Medium-High",N8)),3.5,IF(ISNUMBER(SEARCH("Low-Medium",N8)),2,IF(ISNUMBER(SEARCH("High",N8)),4,IF(ISNUMBER(SEARCH("Medium",N8)),3,IF(ISNUMBER(SEARCH("Low",N8)),1,0))))))</f>
        <v>0</v>
      </c>
      <c r="AJ8" s="9" t="n">
        <f aca="false">IF(ISNUMBER(SEARCH("Very High",P8)),5,IF(ISNUMBER(SEARCH("Medium-High",P8)),3.5,IF(ISNUMBER(SEARCH("Low-Medium",P8)),2,IF(ISNUMBER(SEARCH("High",P8)),4,IF(ISNUMBER(SEARCH("Medium",P8)),3,IF(ISNUMBER(SEARCH("Low",P8)),1,0))))))</f>
        <v>3</v>
      </c>
      <c r="AK8" s="9" t="n">
        <f aca="false">IF(ISNUMBER(SEARCH("Very High",Q8)),5,IF(ISNUMBER(SEARCH("Medium-High",Q8)),3.5,IF(ISNUMBER(SEARCH("Low-Medium",Q8)),2,IF(ISNUMBER(SEARCH("High",Q8)),4,IF(ISNUMBER(SEARCH("Medium",Q8)),3,IF(ISNUMBER(SEARCH("Low",Q8)),1,0))))))</f>
        <v>3</v>
      </c>
      <c r="AL8" s="9" t="n">
        <f aca="false">AC8+ROW()/10000000</f>
        <v>14.0000008</v>
      </c>
    </row>
    <row r="9" customFormat="false" ht="46.25" hidden="false" customHeight="false" outlineLevel="0" collapsed="false">
      <c r="A9" s="6" t="s">
        <v>182</v>
      </c>
      <c r="B9" s="10" t="s">
        <v>183</v>
      </c>
      <c r="C9" s="10" t="s">
        <v>184</v>
      </c>
      <c r="D9" s="6" t="s">
        <v>185</v>
      </c>
      <c r="E9" s="6" t="s">
        <v>186</v>
      </c>
      <c r="F9" s="6" t="s">
        <v>187</v>
      </c>
      <c r="G9" s="6" t="s">
        <v>44</v>
      </c>
      <c r="H9" s="6" t="s">
        <v>188</v>
      </c>
      <c r="I9" s="6" t="s">
        <v>189</v>
      </c>
      <c r="J9" s="6" t="s">
        <v>190</v>
      </c>
      <c r="K9" s="6" t="s">
        <v>191</v>
      </c>
      <c r="L9" s="5" t="s">
        <v>74</v>
      </c>
      <c r="M9" s="14" t="s">
        <v>192</v>
      </c>
      <c r="N9" s="6" t="s">
        <v>51</v>
      </c>
      <c r="O9" s="6"/>
      <c r="P9" s="5" t="s">
        <v>193</v>
      </c>
      <c r="Q9" s="5" t="s">
        <v>74</v>
      </c>
      <c r="R9" s="6" t="s">
        <v>173</v>
      </c>
      <c r="S9" s="6" t="s">
        <v>194</v>
      </c>
      <c r="T9" s="6" t="s">
        <v>195</v>
      </c>
      <c r="U9" s="6" t="s">
        <v>176</v>
      </c>
      <c r="V9" s="6" t="s">
        <v>196</v>
      </c>
      <c r="W9" s="6" t="s">
        <v>100</v>
      </c>
      <c r="X9" s="6" t="s">
        <v>51</v>
      </c>
      <c r="Y9" s="6" t="s">
        <v>197</v>
      </c>
      <c r="Z9" s="6" t="s">
        <v>198</v>
      </c>
      <c r="AA9" s="6" t="s">
        <v>199</v>
      </c>
      <c r="AB9" s="7"/>
      <c r="AC9" s="12" t="n">
        <f aca="false">ROUND((AK9*2)+(AJ9*2)+AVERAGE(AG9,AH9,AI9),1)</f>
        <v>13.7</v>
      </c>
      <c r="AD9" s="7"/>
      <c r="AE9" s="7"/>
      <c r="AF9" s="6" t="s">
        <v>64</v>
      </c>
      <c r="AG9" s="9" t="n">
        <f aca="false">IF(ISNUMBER(SEARCH("Very High",L9)),5,IF(ISNUMBER(SEARCH("Medium-High",L9)),3.5,IF(ISNUMBER(SEARCH("Low-Medium",L9)),2,IF(ISNUMBER(SEARCH("High",L9)),4,IF(ISNUMBER(SEARCH("Medium",L9)),3,IF(ISNUMBER(SEARCH("Low",L9)),1,0))))))</f>
        <v>3</v>
      </c>
      <c r="AH9" s="9" t="n">
        <f aca="false">IF(ISNUMBER(SEARCH("Very High",M9)),5,IF(ISNUMBER(SEARCH("Medium-High",M9)),3.5,IF(ISNUMBER(SEARCH("Low-Medium",M9)),2,IF(ISNUMBER(SEARCH("High",M9)),4,IF(ISNUMBER(SEARCH("Medium",M9)),3,IF(ISNUMBER(SEARCH("Low",M9)),1,0))))))</f>
        <v>2</v>
      </c>
      <c r="AI9" s="9" t="n">
        <f aca="false">IF(ISNUMBER(SEARCH("Very High",N9)),5,IF(ISNUMBER(SEARCH("Medium-High",N9)),3.5,IF(ISNUMBER(SEARCH("Low-Medium",N9)),2,IF(ISNUMBER(SEARCH("High",N9)),4,IF(ISNUMBER(SEARCH("Medium",N9)),3,IF(ISNUMBER(SEARCH("Low",N9)),1,0))))))</f>
        <v>0</v>
      </c>
      <c r="AJ9" s="9" t="n">
        <f aca="false">IF(ISNUMBER(SEARCH("Very High",P9)),5,IF(ISNUMBER(SEARCH("Medium-High",P9)),3.5,IF(ISNUMBER(SEARCH("Low-Medium",P9)),2,IF(ISNUMBER(SEARCH("High",P9)),4,IF(ISNUMBER(SEARCH("Medium",P9)),3,IF(ISNUMBER(SEARCH("Low",P9)),1,0))))))</f>
        <v>3</v>
      </c>
      <c r="AK9" s="9" t="n">
        <f aca="false">IF(ISNUMBER(SEARCH("Very High",Q9)),5,IF(ISNUMBER(SEARCH("Medium-High",Q9)),3.5,IF(ISNUMBER(SEARCH("Low-Medium",Q9)),2,IF(ISNUMBER(SEARCH("High",Q9)),4,IF(ISNUMBER(SEARCH("Medium",Q9)),3,IF(ISNUMBER(SEARCH("Low",Q9)),1,0))))))</f>
        <v>3</v>
      </c>
      <c r="AL9" s="9" t="n">
        <f aca="false">AC9+ROW()/10000000</f>
        <v>13.7000009</v>
      </c>
    </row>
    <row r="10" customFormat="false" ht="46.25" hidden="false" customHeight="false" outlineLevel="0" collapsed="false">
      <c r="A10" s="2" t="s">
        <v>200</v>
      </c>
      <c r="B10" s="3" t="s">
        <v>201</v>
      </c>
      <c r="C10" s="3" t="s">
        <v>202</v>
      </c>
      <c r="D10" s="2" t="s">
        <v>203</v>
      </c>
      <c r="E10" s="2" t="s">
        <v>204</v>
      </c>
      <c r="F10" s="2" t="s">
        <v>205</v>
      </c>
      <c r="G10" s="2" t="s">
        <v>44</v>
      </c>
      <c r="H10" s="2" t="s">
        <v>206</v>
      </c>
      <c r="I10" s="2" t="s">
        <v>207</v>
      </c>
      <c r="J10" s="2" t="s">
        <v>208</v>
      </c>
      <c r="K10" s="2" t="s">
        <v>209</v>
      </c>
      <c r="L10" s="14" t="s">
        <v>210</v>
      </c>
      <c r="M10" s="14" t="s">
        <v>192</v>
      </c>
      <c r="N10" s="6" t="s">
        <v>51</v>
      </c>
      <c r="O10" s="2"/>
      <c r="P10" s="5" t="s">
        <v>211</v>
      </c>
      <c r="Q10" s="5" t="s">
        <v>74</v>
      </c>
      <c r="R10" s="2" t="s">
        <v>173</v>
      </c>
      <c r="S10" s="2" t="s">
        <v>212</v>
      </c>
      <c r="T10" s="2" t="s">
        <v>213</v>
      </c>
      <c r="U10" s="2" t="s">
        <v>176</v>
      </c>
      <c r="V10" s="2" t="s">
        <v>214</v>
      </c>
      <c r="W10" s="2" t="s">
        <v>100</v>
      </c>
      <c r="X10" s="2" t="s">
        <v>178</v>
      </c>
      <c r="Y10" s="2" t="s">
        <v>215</v>
      </c>
      <c r="Z10" s="2" t="s">
        <v>216</v>
      </c>
      <c r="AA10" s="2" t="s">
        <v>217</v>
      </c>
      <c r="AB10" s="7"/>
      <c r="AC10" s="8" t="n">
        <f aca="false">ROUND((AK10*2)+(AJ10*2)+AVERAGE(AG10,AH10,AI10),1)</f>
        <v>13.3</v>
      </c>
      <c r="AD10" s="7"/>
      <c r="AE10" s="7"/>
      <c r="AF10" s="2" t="s">
        <v>64</v>
      </c>
      <c r="AG10" s="9" t="n">
        <f aca="false">IF(ISNUMBER(SEARCH("Very High",L10)),5,IF(ISNUMBER(SEARCH("Medium-High",L10)),3.5,IF(ISNUMBER(SEARCH("Low-Medium",L10)),2,IF(ISNUMBER(SEARCH("High",L10)),4,IF(ISNUMBER(SEARCH("Medium",L10)),3,IF(ISNUMBER(SEARCH("Low",L10)),1,0))))))</f>
        <v>2</v>
      </c>
      <c r="AH10" s="9" t="n">
        <f aca="false">IF(ISNUMBER(SEARCH("Very High",M10)),5,IF(ISNUMBER(SEARCH("Medium-High",M10)),3.5,IF(ISNUMBER(SEARCH("Low-Medium",M10)),2,IF(ISNUMBER(SEARCH("High",M10)),4,IF(ISNUMBER(SEARCH("Medium",M10)),3,IF(ISNUMBER(SEARCH("Low",M10)),1,0))))))</f>
        <v>2</v>
      </c>
      <c r="AI10" s="9" t="n">
        <f aca="false">IF(ISNUMBER(SEARCH("Very High",N10)),5,IF(ISNUMBER(SEARCH("Medium-High",N10)),3.5,IF(ISNUMBER(SEARCH("Low-Medium",N10)),2,IF(ISNUMBER(SEARCH("High",N10)),4,IF(ISNUMBER(SEARCH("Medium",N10)),3,IF(ISNUMBER(SEARCH("Low",N10)),1,0))))))</f>
        <v>0</v>
      </c>
      <c r="AJ10" s="9" t="n">
        <f aca="false">IF(ISNUMBER(SEARCH("Very High",P10)),5,IF(ISNUMBER(SEARCH("Medium-High",P10)),3.5,IF(ISNUMBER(SEARCH("Low-Medium",P10)),2,IF(ISNUMBER(SEARCH("High",P10)),4,IF(ISNUMBER(SEARCH("Medium",P10)),3,IF(ISNUMBER(SEARCH("Low",P10)),1,0))))))</f>
        <v>3</v>
      </c>
      <c r="AK10" s="9" t="n">
        <f aca="false">IF(ISNUMBER(SEARCH("Very High",Q10)),5,IF(ISNUMBER(SEARCH("Medium-High",Q10)),3.5,IF(ISNUMBER(SEARCH("Low-Medium",Q10)),2,IF(ISNUMBER(SEARCH("High",Q10)),4,IF(ISNUMBER(SEARCH("Medium",Q10)),3,IF(ISNUMBER(SEARCH("Low",Q10)),1,0))))))</f>
        <v>3</v>
      </c>
      <c r="AL10" s="9" t="n">
        <f aca="false">AC10+ROW()/10000000</f>
        <v>13.300001</v>
      </c>
    </row>
    <row r="11" customFormat="false" ht="46.25" hidden="false" customHeight="false" outlineLevel="0" collapsed="false">
      <c r="A11" s="6" t="s">
        <v>218</v>
      </c>
      <c r="B11" s="10" t="s">
        <v>219</v>
      </c>
      <c r="C11" s="10" t="s">
        <v>220</v>
      </c>
      <c r="D11" s="6" t="s">
        <v>221</v>
      </c>
      <c r="E11" s="6" t="s">
        <v>222</v>
      </c>
      <c r="F11" s="6" t="s">
        <v>187</v>
      </c>
      <c r="G11" s="6" t="s">
        <v>44</v>
      </c>
      <c r="H11" s="6" t="s">
        <v>223</v>
      </c>
      <c r="I11" s="6" t="s">
        <v>224</v>
      </c>
      <c r="J11" s="6" t="s">
        <v>225</v>
      </c>
      <c r="K11" s="6" t="s">
        <v>226</v>
      </c>
      <c r="L11" s="14" t="s">
        <v>227</v>
      </c>
      <c r="M11" s="15" t="s">
        <v>228</v>
      </c>
      <c r="N11" s="6" t="s">
        <v>51</v>
      </c>
      <c r="O11" s="6"/>
      <c r="P11" s="14" t="s">
        <v>229</v>
      </c>
      <c r="Q11" s="14" t="s">
        <v>192</v>
      </c>
      <c r="R11" s="6" t="s">
        <v>173</v>
      </c>
      <c r="S11" s="6" t="s">
        <v>230</v>
      </c>
      <c r="T11" s="6" t="s">
        <v>231</v>
      </c>
      <c r="U11" s="6" t="s">
        <v>232</v>
      </c>
      <c r="V11" s="6" t="s">
        <v>233</v>
      </c>
      <c r="W11" s="6" t="s">
        <v>100</v>
      </c>
      <c r="X11" s="6" t="s">
        <v>234</v>
      </c>
      <c r="Y11" s="6" t="s">
        <v>235</v>
      </c>
      <c r="Z11" s="6" t="s">
        <v>236</v>
      </c>
      <c r="AA11" s="6" t="s">
        <v>237</v>
      </c>
      <c r="AB11" s="7"/>
      <c r="AC11" s="12" t="n">
        <f aca="false">ROUND((AK11*2)+(AJ11*2)+AVERAGE(AG11,AH11,AI11),1)</f>
        <v>9</v>
      </c>
      <c r="AD11" s="7"/>
      <c r="AE11" s="7"/>
      <c r="AF11" s="6" t="s">
        <v>64</v>
      </c>
      <c r="AG11" s="9" t="n">
        <f aca="false">IF(ISNUMBER(SEARCH("Very High",L11)),5,IF(ISNUMBER(SEARCH("Medium-High",L11)),3.5,IF(ISNUMBER(SEARCH("Low-Medium",L11)),2,IF(ISNUMBER(SEARCH("High",L11)),4,IF(ISNUMBER(SEARCH("Medium",L11)),3,IF(ISNUMBER(SEARCH("Low",L11)),1,0))))))</f>
        <v>2</v>
      </c>
      <c r="AH11" s="9" t="n">
        <f aca="false">IF(ISNUMBER(SEARCH("Very High",M11)),5,IF(ISNUMBER(SEARCH("Medium-High",M11)),3.5,IF(ISNUMBER(SEARCH("Low-Medium",M11)),2,IF(ISNUMBER(SEARCH("High",M11)),4,IF(ISNUMBER(SEARCH("Medium",M11)),3,IF(ISNUMBER(SEARCH("Low",M11)),1,0))))))</f>
        <v>1</v>
      </c>
      <c r="AI11" s="9" t="n">
        <f aca="false">IF(ISNUMBER(SEARCH("Very High",N11)),5,IF(ISNUMBER(SEARCH("Medium-High",N11)),3.5,IF(ISNUMBER(SEARCH("Low-Medium",N11)),2,IF(ISNUMBER(SEARCH("High",N11)),4,IF(ISNUMBER(SEARCH("Medium",N11)),3,IF(ISNUMBER(SEARCH("Low",N11)),1,0))))))</f>
        <v>0</v>
      </c>
      <c r="AJ11" s="9" t="n">
        <f aca="false">IF(ISNUMBER(SEARCH("Very High",P11)),5,IF(ISNUMBER(SEARCH("Medium-High",P11)),3.5,IF(ISNUMBER(SEARCH("Low-Medium",P11)),2,IF(ISNUMBER(SEARCH("High",P11)),4,IF(ISNUMBER(SEARCH("Medium",P11)),3,IF(ISNUMBER(SEARCH("Low",P11)),1,0))))))</f>
        <v>2</v>
      </c>
      <c r="AK11" s="9" t="n">
        <f aca="false">IF(ISNUMBER(SEARCH("Very High",Q11)),5,IF(ISNUMBER(SEARCH("Medium-High",Q11)),3.5,IF(ISNUMBER(SEARCH("Low-Medium",Q11)),2,IF(ISNUMBER(SEARCH("High",Q11)),4,IF(ISNUMBER(SEARCH("Medium",Q11)),3,IF(ISNUMBER(SEARCH("Low",Q11)),1,0))))))</f>
        <v>2</v>
      </c>
      <c r="AL11" s="9" t="n">
        <f aca="false">AC11+ROW()/10000000</f>
        <v>9.0000011</v>
      </c>
    </row>
    <row r="12" customFormat="false" ht="46.25" hidden="false" customHeight="false" outlineLevel="0" collapsed="false">
      <c r="A12" s="2" t="s">
        <v>238</v>
      </c>
      <c r="B12" s="3" t="s">
        <v>239</v>
      </c>
      <c r="C12" s="3" t="s">
        <v>240</v>
      </c>
      <c r="D12" s="2" t="s">
        <v>221</v>
      </c>
      <c r="E12" s="2" t="s">
        <v>241</v>
      </c>
      <c r="F12" s="2" t="s">
        <v>205</v>
      </c>
      <c r="G12" s="2" t="s">
        <v>44</v>
      </c>
      <c r="H12" s="2" t="s">
        <v>242</v>
      </c>
      <c r="I12" s="2" t="s">
        <v>243</v>
      </c>
      <c r="J12" s="2" t="s">
        <v>244</v>
      </c>
      <c r="K12" s="2" t="s">
        <v>245</v>
      </c>
      <c r="L12" s="5" t="s">
        <v>74</v>
      </c>
      <c r="M12" s="14" t="s">
        <v>192</v>
      </c>
      <c r="N12" s="6" t="s">
        <v>51</v>
      </c>
      <c r="O12" s="2"/>
      <c r="P12" s="5" t="s">
        <v>246</v>
      </c>
      <c r="Q12" s="5" t="s">
        <v>74</v>
      </c>
      <c r="R12" s="2" t="s">
        <v>173</v>
      </c>
      <c r="S12" s="2" t="s">
        <v>247</v>
      </c>
      <c r="T12" s="2" t="s">
        <v>248</v>
      </c>
      <c r="U12" s="2" t="s">
        <v>249</v>
      </c>
      <c r="V12" s="2" t="s">
        <v>250</v>
      </c>
      <c r="W12" s="2" t="s">
        <v>100</v>
      </c>
      <c r="X12" s="2" t="s">
        <v>251</v>
      </c>
      <c r="Y12" s="2" t="s">
        <v>252</v>
      </c>
      <c r="Z12" s="2" t="s">
        <v>253</v>
      </c>
      <c r="AA12" s="2" t="s">
        <v>254</v>
      </c>
      <c r="AB12" s="7"/>
      <c r="AC12" s="8" t="n">
        <f aca="false">ROUND((AK12*2)+(AJ12*2)+AVERAGE(AG12,AH12,AI12),1)</f>
        <v>13.7</v>
      </c>
      <c r="AD12" s="7"/>
      <c r="AE12" s="7"/>
      <c r="AF12" s="2" t="s">
        <v>64</v>
      </c>
      <c r="AG12" s="9" t="n">
        <f aca="false">IF(ISNUMBER(SEARCH("Very High",L12)),5,IF(ISNUMBER(SEARCH("Medium-High",L12)),3.5,IF(ISNUMBER(SEARCH("Low-Medium",L12)),2,IF(ISNUMBER(SEARCH("High",L12)),4,IF(ISNUMBER(SEARCH("Medium",L12)),3,IF(ISNUMBER(SEARCH("Low",L12)),1,0))))))</f>
        <v>3</v>
      </c>
      <c r="AH12" s="9" t="n">
        <f aca="false">IF(ISNUMBER(SEARCH("Very High",M12)),5,IF(ISNUMBER(SEARCH("Medium-High",M12)),3.5,IF(ISNUMBER(SEARCH("Low-Medium",M12)),2,IF(ISNUMBER(SEARCH("High",M12)),4,IF(ISNUMBER(SEARCH("Medium",M12)),3,IF(ISNUMBER(SEARCH("Low",M12)),1,0))))))</f>
        <v>2</v>
      </c>
      <c r="AI12" s="9" t="n">
        <f aca="false">IF(ISNUMBER(SEARCH("Very High",N12)),5,IF(ISNUMBER(SEARCH("Medium-High",N12)),3.5,IF(ISNUMBER(SEARCH("Low-Medium",N12)),2,IF(ISNUMBER(SEARCH("High",N12)),4,IF(ISNUMBER(SEARCH("Medium",N12)),3,IF(ISNUMBER(SEARCH("Low",N12)),1,0))))))</f>
        <v>0</v>
      </c>
      <c r="AJ12" s="9" t="n">
        <f aca="false">IF(ISNUMBER(SEARCH("Very High",P12)),5,IF(ISNUMBER(SEARCH("Medium-High",P12)),3.5,IF(ISNUMBER(SEARCH("Low-Medium",P12)),2,IF(ISNUMBER(SEARCH("High",P12)),4,IF(ISNUMBER(SEARCH("Medium",P12)),3,IF(ISNUMBER(SEARCH("Low",P12)),1,0))))))</f>
        <v>3</v>
      </c>
      <c r="AK12" s="9" t="n">
        <f aca="false">IF(ISNUMBER(SEARCH("Very High",Q12)),5,IF(ISNUMBER(SEARCH("Medium-High",Q12)),3.5,IF(ISNUMBER(SEARCH("Low-Medium",Q12)),2,IF(ISNUMBER(SEARCH("High",Q12)),4,IF(ISNUMBER(SEARCH("Medium",Q12)),3,IF(ISNUMBER(SEARCH("Low",Q12)),1,0))))))</f>
        <v>3</v>
      </c>
      <c r="AL12" s="9" t="n">
        <f aca="false">AC12+ROW()/10000000</f>
        <v>13.7000012</v>
      </c>
    </row>
    <row r="13" customFormat="false" ht="57.45" hidden="false" customHeight="false" outlineLevel="0" collapsed="false">
      <c r="A13" s="6" t="s">
        <v>255</v>
      </c>
      <c r="B13" s="10" t="s">
        <v>256</v>
      </c>
      <c r="C13" s="10" t="s">
        <v>257</v>
      </c>
      <c r="D13" s="6" t="s">
        <v>221</v>
      </c>
      <c r="E13" s="6" t="s">
        <v>258</v>
      </c>
      <c r="F13" s="6" t="s">
        <v>187</v>
      </c>
      <c r="G13" s="6" t="s">
        <v>44</v>
      </c>
      <c r="H13" s="6" t="s">
        <v>259</v>
      </c>
      <c r="I13" s="6" t="s">
        <v>260</v>
      </c>
      <c r="J13" s="6" t="s">
        <v>261</v>
      </c>
      <c r="K13" s="6" t="s">
        <v>262</v>
      </c>
      <c r="L13" s="5" t="s">
        <v>74</v>
      </c>
      <c r="M13" s="14" t="s">
        <v>192</v>
      </c>
      <c r="N13" s="6" t="s">
        <v>51</v>
      </c>
      <c r="O13" s="6"/>
      <c r="P13" s="14" t="s">
        <v>263</v>
      </c>
      <c r="Q13" s="14" t="s">
        <v>192</v>
      </c>
      <c r="R13" s="6" t="s">
        <v>173</v>
      </c>
      <c r="S13" s="6" t="s">
        <v>264</v>
      </c>
      <c r="T13" s="6" t="s">
        <v>265</v>
      </c>
      <c r="U13" s="6" t="s">
        <v>232</v>
      </c>
      <c r="V13" s="6" t="s">
        <v>266</v>
      </c>
      <c r="W13" s="6" t="s">
        <v>100</v>
      </c>
      <c r="X13" s="6" t="s">
        <v>267</v>
      </c>
      <c r="Y13" s="6" t="s">
        <v>268</v>
      </c>
      <c r="Z13" s="6" t="s">
        <v>269</v>
      </c>
      <c r="AA13" s="6" t="s">
        <v>270</v>
      </c>
      <c r="AB13" s="7"/>
      <c r="AC13" s="12" t="n">
        <f aca="false">ROUND((AK13*2)+(AJ13*2)+AVERAGE(AG13,AH13,AI13),1)</f>
        <v>9.7</v>
      </c>
      <c r="AD13" s="7"/>
      <c r="AE13" s="7"/>
      <c r="AF13" s="6" t="s">
        <v>64</v>
      </c>
      <c r="AG13" s="9" t="n">
        <f aca="false">IF(ISNUMBER(SEARCH("Very High",L13)),5,IF(ISNUMBER(SEARCH("Medium-High",L13)),3.5,IF(ISNUMBER(SEARCH("Low-Medium",L13)),2,IF(ISNUMBER(SEARCH("High",L13)),4,IF(ISNUMBER(SEARCH("Medium",L13)),3,IF(ISNUMBER(SEARCH("Low",L13)),1,0))))))</f>
        <v>3</v>
      </c>
      <c r="AH13" s="9" t="n">
        <f aca="false">IF(ISNUMBER(SEARCH("Very High",M13)),5,IF(ISNUMBER(SEARCH("Medium-High",M13)),3.5,IF(ISNUMBER(SEARCH("Low-Medium",M13)),2,IF(ISNUMBER(SEARCH("High",M13)),4,IF(ISNUMBER(SEARCH("Medium",M13)),3,IF(ISNUMBER(SEARCH("Low",M13)),1,0))))))</f>
        <v>2</v>
      </c>
      <c r="AI13" s="9" t="n">
        <f aca="false">IF(ISNUMBER(SEARCH("Very High",N13)),5,IF(ISNUMBER(SEARCH("Medium-High",N13)),3.5,IF(ISNUMBER(SEARCH("Low-Medium",N13)),2,IF(ISNUMBER(SEARCH("High",N13)),4,IF(ISNUMBER(SEARCH("Medium",N13)),3,IF(ISNUMBER(SEARCH("Low",N13)),1,0))))))</f>
        <v>0</v>
      </c>
      <c r="AJ13" s="9" t="n">
        <f aca="false">IF(ISNUMBER(SEARCH("Very High",P13)),5,IF(ISNUMBER(SEARCH("Medium-High",P13)),3.5,IF(ISNUMBER(SEARCH("Low-Medium",P13)),2,IF(ISNUMBER(SEARCH("High",P13)),4,IF(ISNUMBER(SEARCH("Medium",P13)),3,IF(ISNUMBER(SEARCH("Low",P13)),1,0))))))</f>
        <v>2</v>
      </c>
      <c r="AK13" s="9" t="n">
        <f aca="false">IF(ISNUMBER(SEARCH("Very High",Q13)),5,IF(ISNUMBER(SEARCH("Medium-High",Q13)),3.5,IF(ISNUMBER(SEARCH("Low-Medium",Q13)),2,IF(ISNUMBER(SEARCH("High",Q13)),4,IF(ISNUMBER(SEARCH("Medium",Q13)),3,IF(ISNUMBER(SEARCH("Low",Q13)),1,0))))))</f>
        <v>2</v>
      </c>
      <c r="AL13" s="9" t="n">
        <f aca="false">AC13+ROW()/10000000</f>
        <v>9.7000013</v>
      </c>
    </row>
    <row r="14" customFormat="false" ht="46.25" hidden="false" customHeight="false" outlineLevel="0" collapsed="false">
      <c r="A14" s="2" t="s">
        <v>271</v>
      </c>
      <c r="B14" s="3" t="s">
        <v>272</v>
      </c>
      <c r="C14" s="3" t="s">
        <v>273</v>
      </c>
      <c r="D14" s="2" t="s">
        <v>221</v>
      </c>
      <c r="E14" s="2" t="s">
        <v>274</v>
      </c>
      <c r="F14" s="2" t="s">
        <v>205</v>
      </c>
      <c r="G14" s="2" t="s">
        <v>44</v>
      </c>
      <c r="H14" s="2" t="s">
        <v>275</v>
      </c>
      <c r="I14" s="2" t="s">
        <v>276</v>
      </c>
      <c r="J14" s="2" t="s">
        <v>277</v>
      </c>
      <c r="K14" s="2" t="s">
        <v>278</v>
      </c>
      <c r="L14" s="5" t="s">
        <v>74</v>
      </c>
      <c r="M14" s="14" t="s">
        <v>192</v>
      </c>
      <c r="N14" s="6" t="s">
        <v>51</v>
      </c>
      <c r="O14" s="2"/>
      <c r="P14" s="14" t="s">
        <v>279</v>
      </c>
      <c r="Q14" s="14" t="s">
        <v>192</v>
      </c>
      <c r="R14" s="2" t="s">
        <v>173</v>
      </c>
      <c r="S14" s="2" t="s">
        <v>280</v>
      </c>
      <c r="T14" s="2" t="s">
        <v>281</v>
      </c>
      <c r="U14" s="2" t="s">
        <v>232</v>
      </c>
      <c r="V14" s="2" t="s">
        <v>282</v>
      </c>
      <c r="W14" s="2" t="s">
        <v>100</v>
      </c>
      <c r="X14" s="2" t="s">
        <v>283</v>
      </c>
      <c r="Y14" s="2" t="s">
        <v>284</v>
      </c>
      <c r="Z14" s="2" t="s">
        <v>285</v>
      </c>
      <c r="AA14" s="2" t="s">
        <v>286</v>
      </c>
      <c r="AB14" s="7"/>
      <c r="AC14" s="8" t="n">
        <f aca="false">ROUND((AK14*2)+(AJ14*2)+AVERAGE(AG14,AH14,AI14),1)</f>
        <v>9.7</v>
      </c>
      <c r="AD14" s="7"/>
      <c r="AE14" s="7"/>
      <c r="AF14" s="2" t="s">
        <v>64</v>
      </c>
      <c r="AG14" s="9" t="n">
        <f aca="false">IF(ISNUMBER(SEARCH("Very High",L14)),5,IF(ISNUMBER(SEARCH("Medium-High",L14)),3.5,IF(ISNUMBER(SEARCH("Low-Medium",L14)),2,IF(ISNUMBER(SEARCH("High",L14)),4,IF(ISNUMBER(SEARCH("Medium",L14)),3,IF(ISNUMBER(SEARCH("Low",L14)),1,0))))))</f>
        <v>3</v>
      </c>
      <c r="AH14" s="9" t="n">
        <f aca="false">IF(ISNUMBER(SEARCH("Very High",M14)),5,IF(ISNUMBER(SEARCH("Medium-High",M14)),3.5,IF(ISNUMBER(SEARCH("Low-Medium",M14)),2,IF(ISNUMBER(SEARCH("High",M14)),4,IF(ISNUMBER(SEARCH("Medium",M14)),3,IF(ISNUMBER(SEARCH("Low",M14)),1,0))))))</f>
        <v>2</v>
      </c>
      <c r="AI14" s="9" t="n">
        <f aca="false">IF(ISNUMBER(SEARCH("Very High",N14)),5,IF(ISNUMBER(SEARCH("Medium-High",N14)),3.5,IF(ISNUMBER(SEARCH("Low-Medium",N14)),2,IF(ISNUMBER(SEARCH("High",N14)),4,IF(ISNUMBER(SEARCH("Medium",N14)),3,IF(ISNUMBER(SEARCH("Low",N14)),1,0))))))</f>
        <v>0</v>
      </c>
      <c r="AJ14" s="9" t="n">
        <f aca="false">IF(ISNUMBER(SEARCH("Very High",P14)),5,IF(ISNUMBER(SEARCH("Medium-High",P14)),3.5,IF(ISNUMBER(SEARCH("Low-Medium",P14)),2,IF(ISNUMBER(SEARCH("High",P14)),4,IF(ISNUMBER(SEARCH("Medium",P14)),3,IF(ISNUMBER(SEARCH("Low",P14)),1,0))))))</f>
        <v>2</v>
      </c>
      <c r="AK14" s="9" t="n">
        <f aca="false">IF(ISNUMBER(SEARCH("Very High",Q14)),5,IF(ISNUMBER(SEARCH("Medium-High",Q14)),3.5,IF(ISNUMBER(SEARCH("Low-Medium",Q14)),2,IF(ISNUMBER(SEARCH("High",Q14)),4,IF(ISNUMBER(SEARCH("Medium",Q14)),3,IF(ISNUMBER(SEARCH("Low",Q14)),1,0))))))</f>
        <v>2</v>
      </c>
      <c r="AL14" s="9" t="n">
        <f aca="false">AC14+ROW()/10000000</f>
        <v>9.7000014</v>
      </c>
    </row>
    <row r="15" customFormat="false" ht="46.25" hidden="false" customHeight="false" outlineLevel="0" collapsed="false">
      <c r="A15" s="6" t="s">
        <v>287</v>
      </c>
      <c r="B15" s="10" t="s">
        <v>288</v>
      </c>
      <c r="C15" s="10" t="s">
        <v>289</v>
      </c>
      <c r="D15" s="6" t="s">
        <v>221</v>
      </c>
      <c r="E15" s="6" t="s">
        <v>290</v>
      </c>
      <c r="F15" s="6" t="s">
        <v>205</v>
      </c>
      <c r="G15" s="6" t="s">
        <v>44</v>
      </c>
      <c r="H15" s="6" t="s">
        <v>291</v>
      </c>
      <c r="I15" s="6" t="s">
        <v>260</v>
      </c>
      <c r="J15" s="6" t="s">
        <v>292</v>
      </c>
      <c r="K15" s="6" t="s">
        <v>293</v>
      </c>
      <c r="L15" s="5" t="s">
        <v>74</v>
      </c>
      <c r="M15" s="14" t="s">
        <v>192</v>
      </c>
      <c r="N15" s="6" t="s">
        <v>51</v>
      </c>
      <c r="O15" s="6"/>
      <c r="P15" s="14" t="s">
        <v>294</v>
      </c>
      <c r="Q15" s="14" t="s">
        <v>192</v>
      </c>
      <c r="R15" s="6" t="s">
        <v>173</v>
      </c>
      <c r="S15" s="6" t="s">
        <v>295</v>
      </c>
      <c r="T15" s="6" t="s">
        <v>296</v>
      </c>
      <c r="U15" s="6" t="s">
        <v>232</v>
      </c>
      <c r="V15" s="6" t="s">
        <v>282</v>
      </c>
      <c r="W15" s="6" t="s">
        <v>100</v>
      </c>
      <c r="X15" s="6" t="s">
        <v>297</v>
      </c>
      <c r="Y15" s="6" t="s">
        <v>298</v>
      </c>
      <c r="Z15" s="6" t="s">
        <v>299</v>
      </c>
      <c r="AA15" s="6" t="s">
        <v>300</v>
      </c>
      <c r="AB15" s="7"/>
      <c r="AC15" s="12" t="n">
        <f aca="false">ROUND((AK15*2)+(AJ15*2)+AVERAGE(AG15,AH15,AI15),1)</f>
        <v>9.7</v>
      </c>
      <c r="AD15" s="7"/>
      <c r="AE15" s="7"/>
      <c r="AF15" s="6" t="s">
        <v>64</v>
      </c>
      <c r="AG15" s="9" t="n">
        <f aca="false">IF(ISNUMBER(SEARCH("Very High",L15)),5,IF(ISNUMBER(SEARCH("Medium-High",L15)),3.5,IF(ISNUMBER(SEARCH("Low-Medium",L15)),2,IF(ISNUMBER(SEARCH("High",L15)),4,IF(ISNUMBER(SEARCH("Medium",L15)),3,IF(ISNUMBER(SEARCH("Low",L15)),1,0))))))</f>
        <v>3</v>
      </c>
      <c r="AH15" s="9" t="n">
        <f aca="false">IF(ISNUMBER(SEARCH("Very High",M15)),5,IF(ISNUMBER(SEARCH("Medium-High",M15)),3.5,IF(ISNUMBER(SEARCH("Low-Medium",M15)),2,IF(ISNUMBER(SEARCH("High",M15)),4,IF(ISNUMBER(SEARCH("Medium",M15)),3,IF(ISNUMBER(SEARCH("Low",M15)),1,0))))))</f>
        <v>2</v>
      </c>
      <c r="AI15" s="9" t="n">
        <f aca="false">IF(ISNUMBER(SEARCH("Very High",N15)),5,IF(ISNUMBER(SEARCH("Medium-High",N15)),3.5,IF(ISNUMBER(SEARCH("Low-Medium",N15)),2,IF(ISNUMBER(SEARCH("High",N15)),4,IF(ISNUMBER(SEARCH("Medium",N15)),3,IF(ISNUMBER(SEARCH("Low",N15)),1,0))))))</f>
        <v>0</v>
      </c>
      <c r="AJ15" s="9" t="n">
        <f aca="false">IF(ISNUMBER(SEARCH("Very High",P15)),5,IF(ISNUMBER(SEARCH("Medium-High",P15)),3.5,IF(ISNUMBER(SEARCH("Low-Medium",P15)),2,IF(ISNUMBER(SEARCH("High",P15)),4,IF(ISNUMBER(SEARCH("Medium",P15)),3,IF(ISNUMBER(SEARCH("Low",P15)),1,0))))))</f>
        <v>2</v>
      </c>
      <c r="AK15" s="9" t="n">
        <f aca="false">IF(ISNUMBER(SEARCH("Very High",Q15)),5,IF(ISNUMBER(SEARCH("Medium-High",Q15)),3.5,IF(ISNUMBER(SEARCH("Low-Medium",Q15)),2,IF(ISNUMBER(SEARCH("High",Q15)),4,IF(ISNUMBER(SEARCH("Medium",Q15)),3,IF(ISNUMBER(SEARCH("Low",Q15)),1,0))))))</f>
        <v>2</v>
      </c>
      <c r="AL15" s="9" t="n">
        <f aca="false">AC15+ROW()/10000000</f>
        <v>9.7000015</v>
      </c>
    </row>
    <row r="16" customFormat="false" ht="46.25" hidden="false" customHeight="false" outlineLevel="0" collapsed="false">
      <c r="A16" s="2" t="s">
        <v>301</v>
      </c>
      <c r="B16" s="3" t="s">
        <v>302</v>
      </c>
      <c r="C16" s="3" t="s">
        <v>303</v>
      </c>
      <c r="D16" s="2" t="s">
        <v>221</v>
      </c>
      <c r="E16" s="2" t="s">
        <v>304</v>
      </c>
      <c r="F16" s="2" t="s">
        <v>205</v>
      </c>
      <c r="G16" s="2" t="s">
        <v>44</v>
      </c>
      <c r="H16" s="2" t="s">
        <v>305</v>
      </c>
      <c r="I16" s="2" t="s">
        <v>306</v>
      </c>
      <c r="J16" s="2" t="s">
        <v>307</v>
      </c>
      <c r="K16" s="2" t="s">
        <v>308</v>
      </c>
      <c r="L16" s="5" t="s">
        <v>74</v>
      </c>
      <c r="M16" s="14" t="s">
        <v>192</v>
      </c>
      <c r="N16" s="6" t="s">
        <v>51</v>
      </c>
      <c r="O16" s="2"/>
      <c r="P16" s="14" t="s">
        <v>309</v>
      </c>
      <c r="Q16" s="14" t="s">
        <v>192</v>
      </c>
      <c r="R16" s="2" t="s">
        <v>173</v>
      </c>
      <c r="S16" s="2" t="s">
        <v>310</v>
      </c>
      <c r="T16" s="2" t="s">
        <v>311</v>
      </c>
      <c r="U16" s="2" t="s">
        <v>232</v>
      </c>
      <c r="V16" s="2" t="s">
        <v>282</v>
      </c>
      <c r="W16" s="2" t="s">
        <v>100</v>
      </c>
      <c r="X16" s="2" t="s">
        <v>283</v>
      </c>
      <c r="Y16" s="2" t="s">
        <v>312</v>
      </c>
      <c r="Z16" s="2" t="s">
        <v>313</v>
      </c>
      <c r="AA16" s="2" t="s">
        <v>314</v>
      </c>
      <c r="AB16" s="7"/>
      <c r="AC16" s="8" t="n">
        <f aca="false">ROUND((AK16*2)+(AJ16*2)+AVERAGE(AG16,AH16,AI16),1)</f>
        <v>9.7</v>
      </c>
      <c r="AD16" s="7"/>
      <c r="AE16" s="7"/>
      <c r="AF16" s="2" t="s">
        <v>64</v>
      </c>
      <c r="AG16" s="9" t="n">
        <f aca="false">IF(ISNUMBER(SEARCH("Very High",L16)),5,IF(ISNUMBER(SEARCH("Medium-High",L16)),3.5,IF(ISNUMBER(SEARCH("Low-Medium",L16)),2,IF(ISNUMBER(SEARCH("High",L16)),4,IF(ISNUMBER(SEARCH("Medium",L16)),3,IF(ISNUMBER(SEARCH("Low",L16)),1,0))))))</f>
        <v>3</v>
      </c>
      <c r="AH16" s="9" t="n">
        <f aca="false">IF(ISNUMBER(SEARCH("Very High",M16)),5,IF(ISNUMBER(SEARCH("Medium-High",M16)),3.5,IF(ISNUMBER(SEARCH("Low-Medium",M16)),2,IF(ISNUMBER(SEARCH("High",M16)),4,IF(ISNUMBER(SEARCH("Medium",M16)),3,IF(ISNUMBER(SEARCH("Low",M16)),1,0))))))</f>
        <v>2</v>
      </c>
      <c r="AI16" s="9" t="n">
        <f aca="false">IF(ISNUMBER(SEARCH("Very High",N16)),5,IF(ISNUMBER(SEARCH("Medium-High",N16)),3.5,IF(ISNUMBER(SEARCH("Low-Medium",N16)),2,IF(ISNUMBER(SEARCH("High",N16)),4,IF(ISNUMBER(SEARCH("Medium",N16)),3,IF(ISNUMBER(SEARCH("Low",N16)),1,0))))))</f>
        <v>0</v>
      </c>
      <c r="AJ16" s="9" t="n">
        <f aca="false">IF(ISNUMBER(SEARCH("Very High",P16)),5,IF(ISNUMBER(SEARCH("Medium-High",P16)),3.5,IF(ISNUMBER(SEARCH("Low-Medium",P16)),2,IF(ISNUMBER(SEARCH("High",P16)),4,IF(ISNUMBER(SEARCH("Medium",P16)),3,IF(ISNUMBER(SEARCH("Low",P16)),1,0))))))</f>
        <v>2</v>
      </c>
      <c r="AK16" s="9" t="n">
        <f aca="false">IF(ISNUMBER(SEARCH("Very High",Q16)),5,IF(ISNUMBER(SEARCH("Medium-High",Q16)),3.5,IF(ISNUMBER(SEARCH("Low-Medium",Q16)),2,IF(ISNUMBER(SEARCH("High",Q16)),4,IF(ISNUMBER(SEARCH("Medium",Q16)),3,IF(ISNUMBER(SEARCH("Low",Q16)),1,0))))))</f>
        <v>2</v>
      </c>
      <c r="AL16" s="9" t="n">
        <f aca="false">AC16+ROW()/10000000</f>
        <v>9.7000016</v>
      </c>
    </row>
    <row r="17" customFormat="false" ht="57.45" hidden="false" customHeight="false" outlineLevel="0" collapsed="false">
      <c r="A17" s="6" t="s">
        <v>315</v>
      </c>
      <c r="B17" s="10" t="s">
        <v>316</v>
      </c>
      <c r="C17" s="10" t="s">
        <v>317</v>
      </c>
      <c r="D17" s="6" t="s">
        <v>41</v>
      </c>
      <c r="E17" s="6" t="s">
        <v>318</v>
      </c>
      <c r="F17" s="6" t="s">
        <v>319</v>
      </c>
      <c r="G17" s="6" t="s">
        <v>44</v>
      </c>
      <c r="H17" s="6" t="s">
        <v>320</v>
      </c>
      <c r="I17" s="6" t="s">
        <v>321</v>
      </c>
      <c r="J17" s="6" t="s">
        <v>322</v>
      </c>
      <c r="K17" s="6" t="s">
        <v>323</v>
      </c>
      <c r="L17" s="4" t="s">
        <v>324</v>
      </c>
      <c r="M17" s="13" t="s">
        <v>94</v>
      </c>
      <c r="N17" s="6" t="s">
        <v>51</v>
      </c>
      <c r="O17" s="6"/>
      <c r="P17" s="11" t="s">
        <v>325</v>
      </c>
      <c r="Q17" s="4" t="s">
        <v>53</v>
      </c>
      <c r="R17" s="6" t="s">
        <v>76</v>
      </c>
      <c r="S17" s="6" t="s">
        <v>326</v>
      </c>
      <c r="T17" s="6" t="s">
        <v>327</v>
      </c>
      <c r="U17" s="6" t="s">
        <v>328</v>
      </c>
      <c r="V17" s="6" t="s">
        <v>329</v>
      </c>
      <c r="W17" s="6" t="s">
        <v>330</v>
      </c>
      <c r="X17" s="6" t="s">
        <v>331</v>
      </c>
      <c r="Y17" s="6" t="s">
        <v>332</v>
      </c>
      <c r="Z17" s="6" t="s">
        <v>333</v>
      </c>
      <c r="AA17" s="6" t="s">
        <v>334</v>
      </c>
      <c r="AB17" s="7"/>
      <c r="AC17" s="12" t="n">
        <f aca="false">ROUND((AK17*2)+(AJ17*2)+AVERAGE(AG17,AH17,AI17),1)</f>
        <v>20.5</v>
      </c>
      <c r="AD17" s="7"/>
      <c r="AE17" s="7"/>
      <c r="AF17" s="6" t="s">
        <v>64</v>
      </c>
      <c r="AG17" s="9" t="n">
        <f aca="false">IF(ISNUMBER(SEARCH("Very High",L17)),5,IF(ISNUMBER(SEARCH("Medium-High",L17)),3.5,IF(ISNUMBER(SEARCH("Low-Medium",L17)),2,IF(ISNUMBER(SEARCH("High",L17)),4,IF(ISNUMBER(SEARCH("Medium",L17)),3,IF(ISNUMBER(SEARCH("Low",L17)),1,0))))))</f>
        <v>4</v>
      </c>
      <c r="AH17" s="9" t="n">
        <f aca="false">IF(ISNUMBER(SEARCH("Very High",M17)),5,IF(ISNUMBER(SEARCH("Medium-High",M17)),3.5,IF(ISNUMBER(SEARCH("Low-Medium",M17)),2,IF(ISNUMBER(SEARCH("High",M17)),4,IF(ISNUMBER(SEARCH("Medium",M17)),3,IF(ISNUMBER(SEARCH("Low",M17)),1,0))))))</f>
        <v>3.5</v>
      </c>
      <c r="AI17" s="9" t="n">
        <f aca="false">IF(ISNUMBER(SEARCH("Very High",N17)),5,IF(ISNUMBER(SEARCH("Medium-High",N17)),3.5,IF(ISNUMBER(SEARCH("Low-Medium",N17)),2,IF(ISNUMBER(SEARCH("High",N17)),4,IF(ISNUMBER(SEARCH("Medium",N17)),3,IF(ISNUMBER(SEARCH("Low",N17)),1,0))))))</f>
        <v>0</v>
      </c>
      <c r="AJ17" s="9" t="n">
        <f aca="false">IF(ISNUMBER(SEARCH("Very High",P17)),5,IF(ISNUMBER(SEARCH("Medium-High",P17)),3.5,IF(ISNUMBER(SEARCH("Low-Medium",P17)),2,IF(ISNUMBER(SEARCH("High",P17)),4,IF(ISNUMBER(SEARCH("Medium",P17)),3,IF(ISNUMBER(SEARCH("Low",P17)),1,0))))))</f>
        <v>5</v>
      </c>
      <c r="AK17" s="9" t="n">
        <f aca="false">IF(ISNUMBER(SEARCH("Very High",Q17)),5,IF(ISNUMBER(SEARCH("Medium-High",Q17)),3.5,IF(ISNUMBER(SEARCH("Low-Medium",Q17)),2,IF(ISNUMBER(SEARCH("High",Q17)),4,IF(ISNUMBER(SEARCH("Medium",Q17)),3,IF(ISNUMBER(SEARCH("Low",Q17)),1,0))))))</f>
        <v>4</v>
      </c>
      <c r="AL17" s="9" t="n">
        <f aca="false">AC17+ROW()/10000000</f>
        <v>20.5000017</v>
      </c>
    </row>
    <row r="18" customFormat="false" ht="57.45" hidden="false" customHeight="false" outlineLevel="0" collapsed="false">
      <c r="A18" s="2" t="s">
        <v>335</v>
      </c>
      <c r="B18" s="3" t="s">
        <v>336</v>
      </c>
      <c r="C18" s="3" t="s">
        <v>337</v>
      </c>
      <c r="D18" s="2" t="s">
        <v>338</v>
      </c>
      <c r="E18" s="2" t="s">
        <v>339</v>
      </c>
      <c r="F18" s="2" t="s">
        <v>340</v>
      </c>
      <c r="G18" s="2" t="s">
        <v>44</v>
      </c>
      <c r="H18" s="2" t="s">
        <v>341</v>
      </c>
      <c r="I18" s="2" t="s">
        <v>342</v>
      </c>
      <c r="J18" s="2" t="s">
        <v>343</v>
      </c>
      <c r="K18" s="2" t="s">
        <v>344</v>
      </c>
      <c r="L18" s="4" t="s">
        <v>345</v>
      </c>
      <c r="M18" s="13" t="s">
        <v>94</v>
      </c>
      <c r="N18" s="6" t="s">
        <v>51</v>
      </c>
      <c r="O18" s="2"/>
      <c r="P18" s="4" t="s">
        <v>346</v>
      </c>
      <c r="Q18" s="4" t="s">
        <v>53</v>
      </c>
      <c r="R18" s="2" t="s">
        <v>347</v>
      </c>
      <c r="S18" s="2" t="s">
        <v>348</v>
      </c>
      <c r="T18" s="2" t="s">
        <v>349</v>
      </c>
      <c r="U18" s="2" t="s">
        <v>350</v>
      </c>
      <c r="V18" s="2" t="s">
        <v>351</v>
      </c>
      <c r="W18" s="2" t="s">
        <v>352</v>
      </c>
      <c r="X18" s="2" t="s">
        <v>353</v>
      </c>
      <c r="Y18" s="2" t="s">
        <v>354</v>
      </c>
      <c r="Z18" s="2" t="s">
        <v>355</v>
      </c>
      <c r="AA18" s="2" t="s">
        <v>356</v>
      </c>
      <c r="AB18" s="7"/>
      <c r="AC18" s="8" t="n">
        <f aca="false">ROUND((AK18*2)+(AJ18*2)+AVERAGE(AG18,AH18,AI18),1)</f>
        <v>18.5</v>
      </c>
      <c r="AD18" s="7"/>
      <c r="AE18" s="7"/>
      <c r="AF18" s="2" t="s">
        <v>64</v>
      </c>
      <c r="AG18" s="9" t="n">
        <f aca="false">IF(ISNUMBER(SEARCH("Very High",L18)),5,IF(ISNUMBER(SEARCH("Medium-High",L18)),3.5,IF(ISNUMBER(SEARCH("Low-Medium",L18)),2,IF(ISNUMBER(SEARCH("High",L18)),4,IF(ISNUMBER(SEARCH("Medium",L18)),3,IF(ISNUMBER(SEARCH("Low",L18)),1,0))))))</f>
        <v>4</v>
      </c>
      <c r="AH18" s="9" t="n">
        <f aca="false">IF(ISNUMBER(SEARCH("Very High",M18)),5,IF(ISNUMBER(SEARCH("Medium-High",M18)),3.5,IF(ISNUMBER(SEARCH("Low-Medium",M18)),2,IF(ISNUMBER(SEARCH("High",M18)),4,IF(ISNUMBER(SEARCH("Medium",M18)),3,IF(ISNUMBER(SEARCH("Low",M18)),1,0))))))</f>
        <v>3.5</v>
      </c>
      <c r="AI18" s="9" t="n">
        <f aca="false">IF(ISNUMBER(SEARCH("Very High",N18)),5,IF(ISNUMBER(SEARCH("Medium-High",N18)),3.5,IF(ISNUMBER(SEARCH("Low-Medium",N18)),2,IF(ISNUMBER(SEARCH("High",N18)),4,IF(ISNUMBER(SEARCH("Medium",N18)),3,IF(ISNUMBER(SEARCH("Low",N18)),1,0))))))</f>
        <v>0</v>
      </c>
      <c r="AJ18" s="9" t="n">
        <f aca="false">IF(ISNUMBER(SEARCH("Very High",P18)),5,IF(ISNUMBER(SEARCH("Medium-High",P18)),3.5,IF(ISNUMBER(SEARCH("Low-Medium",P18)),2,IF(ISNUMBER(SEARCH("High",P18)),4,IF(ISNUMBER(SEARCH("Medium",P18)),3,IF(ISNUMBER(SEARCH("Low",P18)),1,0))))))</f>
        <v>4</v>
      </c>
      <c r="AK18" s="9" t="n">
        <f aca="false">IF(ISNUMBER(SEARCH("Very High",Q18)),5,IF(ISNUMBER(SEARCH("Medium-High",Q18)),3.5,IF(ISNUMBER(SEARCH("Low-Medium",Q18)),2,IF(ISNUMBER(SEARCH("High",Q18)),4,IF(ISNUMBER(SEARCH("Medium",Q18)),3,IF(ISNUMBER(SEARCH("Low",Q18)),1,0))))))</f>
        <v>4</v>
      </c>
      <c r="AL18" s="9" t="n">
        <f aca="false">AC18+ROW()/10000000</f>
        <v>18.5000018</v>
      </c>
    </row>
    <row r="19" customFormat="false" ht="57.45" hidden="false" customHeight="false" outlineLevel="0" collapsed="false">
      <c r="A19" s="6" t="s">
        <v>357</v>
      </c>
      <c r="B19" s="10" t="s">
        <v>358</v>
      </c>
      <c r="C19" s="10" t="s">
        <v>359</v>
      </c>
      <c r="D19" s="6" t="s">
        <v>360</v>
      </c>
      <c r="E19" s="6" t="s">
        <v>361</v>
      </c>
      <c r="F19" s="6" t="s">
        <v>362</v>
      </c>
      <c r="G19" s="6" t="s">
        <v>44</v>
      </c>
      <c r="H19" s="6" t="s">
        <v>363</v>
      </c>
      <c r="I19" s="6" t="s">
        <v>364</v>
      </c>
      <c r="J19" s="6" t="s">
        <v>365</v>
      </c>
      <c r="K19" s="6" t="s">
        <v>366</v>
      </c>
      <c r="L19" s="13" t="s">
        <v>94</v>
      </c>
      <c r="M19" s="5" t="s">
        <v>74</v>
      </c>
      <c r="N19" s="6" t="s">
        <v>51</v>
      </c>
      <c r="O19" s="6"/>
      <c r="P19" s="4" t="s">
        <v>367</v>
      </c>
      <c r="Q19" s="4" t="s">
        <v>53</v>
      </c>
      <c r="R19" s="6" t="s">
        <v>347</v>
      </c>
      <c r="S19" s="6" t="s">
        <v>368</v>
      </c>
      <c r="T19" s="6" t="s">
        <v>369</v>
      </c>
      <c r="U19" s="6" t="s">
        <v>370</v>
      </c>
      <c r="V19" s="6" t="s">
        <v>371</v>
      </c>
      <c r="W19" s="6" t="s">
        <v>100</v>
      </c>
      <c r="X19" s="6" t="s">
        <v>372</v>
      </c>
      <c r="Y19" s="6" t="s">
        <v>373</v>
      </c>
      <c r="Z19" s="6" t="s">
        <v>374</v>
      </c>
      <c r="AA19" s="6" t="s">
        <v>375</v>
      </c>
      <c r="AB19" s="7"/>
      <c r="AC19" s="12" t="n">
        <f aca="false">ROUND((AK19*2)+(AJ19*2)+AVERAGE(AG19,AH19,AI19),1)</f>
        <v>18.2</v>
      </c>
      <c r="AD19" s="7"/>
      <c r="AE19" s="7"/>
      <c r="AF19" s="6" t="s">
        <v>64</v>
      </c>
      <c r="AG19" s="9" t="n">
        <f aca="false">IF(ISNUMBER(SEARCH("Very High",L19)),5,IF(ISNUMBER(SEARCH("Medium-High",L19)),3.5,IF(ISNUMBER(SEARCH("Low-Medium",L19)),2,IF(ISNUMBER(SEARCH("High",L19)),4,IF(ISNUMBER(SEARCH("Medium",L19)),3,IF(ISNUMBER(SEARCH("Low",L19)),1,0))))))</f>
        <v>3.5</v>
      </c>
      <c r="AH19" s="9" t="n">
        <f aca="false">IF(ISNUMBER(SEARCH("Very High",M19)),5,IF(ISNUMBER(SEARCH("Medium-High",M19)),3.5,IF(ISNUMBER(SEARCH("Low-Medium",M19)),2,IF(ISNUMBER(SEARCH("High",M19)),4,IF(ISNUMBER(SEARCH("Medium",M19)),3,IF(ISNUMBER(SEARCH("Low",M19)),1,0))))))</f>
        <v>3</v>
      </c>
      <c r="AI19" s="9" t="n">
        <f aca="false">IF(ISNUMBER(SEARCH("Very High",N19)),5,IF(ISNUMBER(SEARCH("Medium-High",N19)),3.5,IF(ISNUMBER(SEARCH("Low-Medium",N19)),2,IF(ISNUMBER(SEARCH("High",N19)),4,IF(ISNUMBER(SEARCH("Medium",N19)),3,IF(ISNUMBER(SEARCH("Low",N19)),1,0))))))</f>
        <v>0</v>
      </c>
      <c r="AJ19" s="9" t="n">
        <f aca="false">IF(ISNUMBER(SEARCH("Very High",P19)),5,IF(ISNUMBER(SEARCH("Medium-High",P19)),3.5,IF(ISNUMBER(SEARCH("Low-Medium",P19)),2,IF(ISNUMBER(SEARCH("High",P19)),4,IF(ISNUMBER(SEARCH("Medium",P19)),3,IF(ISNUMBER(SEARCH("Low",P19)),1,0))))))</f>
        <v>4</v>
      </c>
      <c r="AK19" s="9" t="n">
        <f aca="false">IF(ISNUMBER(SEARCH("Very High",Q19)),5,IF(ISNUMBER(SEARCH("Medium-High",Q19)),3.5,IF(ISNUMBER(SEARCH("Low-Medium",Q19)),2,IF(ISNUMBER(SEARCH("High",Q19)),4,IF(ISNUMBER(SEARCH("Medium",Q19)),3,IF(ISNUMBER(SEARCH("Low",Q19)),1,0))))))</f>
        <v>4</v>
      </c>
      <c r="AL19" s="9" t="n">
        <f aca="false">AC19+ROW()/10000000</f>
        <v>18.2000019</v>
      </c>
    </row>
    <row r="20" customFormat="false" ht="46.25" hidden="false" customHeight="false" outlineLevel="0" collapsed="false">
      <c r="A20" s="2" t="s">
        <v>376</v>
      </c>
      <c r="B20" s="3" t="s">
        <v>377</v>
      </c>
      <c r="C20" s="3" t="s">
        <v>378</v>
      </c>
      <c r="D20" s="2" t="s">
        <v>379</v>
      </c>
      <c r="E20" s="2" t="s">
        <v>380</v>
      </c>
      <c r="F20" s="2" t="s">
        <v>362</v>
      </c>
      <c r="G20" s="2" t="s">
        <v>44</v>
      </c>
      <c r="H20" s="2" t="s">
        <v>381</v>
      </c>
      <c r="I20" s="2" t="s">
        <v>382</v>
      </c>
      <c r="J20" s="2" t="s">
        <v>383</v>
      </c>
      <c r="K20" s="2" t="s">
        <v>384</v>
      </c>
      <c r="L20" s="4" t="s">
        <v>53</v>
      </c>
      <c r="M20" s="13" t="s">
        <v>94</v>
      </c>
      <c r="N20" s="6" t="s">
        <v>51</v>
      </c>
      <c r="O20" s="2"/>
      <c r="P20" s="11" t="s">
        <v>385</v>
      </c>
      <c r="Q20" s="4" t="s">
        <v>53</v>
      </c>
      <c r="R20" s="2" t="s">
        <v>76</v>
      </c>
      <c r="S20" s="2" t="s">
        <v>386</v>
      </c>
      <c r="T20" s="2" t="s">
        <v>387</v>
      </c>
      <c r="U20" s="2" t="s">
        <v>388</v>
      </c>
      <c r="V20" s="2" t="s">
        <v>389</v>
      </c>
      <c r="W20" s="2" t="s">
        <v>390</v>
      </c>
      <c r="X20" s="2" t="s">
        <v>391</v>
      </c>
      <c r="Y20" s="2" t="s">
        <v>392</v>
      </c>
      <c r="Z20" s="2" t="s">
        <v>393</v>
      </c>
      <c r="AA20" s="2" t="s">
        <v>394</v>
      </c>
      <c r="AB20" s="7"/>
      <c r="AC20" s="8" t="n">
        <f aca="false">ROUND((AK20*2)+(AJ20*2)+AVERAGE(AG20,AH20,AI20),1)</f>
        <v>20.5</v>
      </c>
      <c r="AD20" s="7"/>
      <c r="AE20" s="7"/>
      <c r="AF20" s="2" t="s">
        <v>64</v>
      </c>
      <c r="AG20" s="9" t="n">
        <f aca="false">IF(ISNUMBER(SEARCH("Very High",L20)),5,IF(ISNUMBER(SEARCH("Medium-High",L20)),3.5,IF(ISNUMBER(SEARCH("Low-Medium",L20)),2,IF(ISNUMBER(SEARCH("High",L20)),4,IF(ISNUMBER(SEARCH("Medium",L20)),3,IF(ISNUMBER(SEARCH("Low",L20)),1,0))))))</f>
        <v>4</v>
      </c>
      <c r="AH20" s="9" t="n">
        <f aca="false">IF(ISNUMBER(SEARCH("Very High",M20)),5,IF(ISNUMBER(SEARCH("Medium-High",M20)),3.5,IF(ISNUMBER(SEARCH("Low-Medium",M20)),2,IF(ISNUMBER(SEARCH("High",M20)),4,IF(ISNUMBER(SEARCH("Medium",M20)),3,IF(ISNUMBER(SEARCH("Low",M20)),1,0))))))</f>
        <v>3.5</v>
      </c>
      <c r="AI20" s="9" t="n">
        <f aca="false">IF(ISNUMBER(SEARCH("Very High",N20)),5,IF(ISNUMBER(SEARCH("Medium-High",N20)),3.5,IF(ISNUMBER(SEARCH("Low-Medium",N20)),2,IF(ISNUMBER(SEARCH("High",N20)),4,IF(ISNUMBER(SEARCH("Medium",N20)),3,IF(ISNUMBER(SEARCH("Low",N20)),1,0))))))</f>
        <v>0</v>
      </c>
      <c r="AJ20" s="9" t="n">
        <f aca="false">IF(ISNUMBER(SEARCH("Very High",P20)),5,IF(ISNUMBER(SEARCH("Medium-High",P20)),3.5,IF(ISNUMBER(SEARCH("Low-Medium",P20)),2,IF(ISNUMBER(SEARCH("High",P20)),4,IF(ISNUMBER(SEARCH("Medium",P20)),3,IF(ISNUMBER(SEARCH("Low",P20)),1,0))))))</f>
        <v>5</v>
      </c>
      <c r="AK20" s="9" t="n">
        <f aca="false">IF(ISNUMBER(SEARCH("Very High",Q20)),5,IF(ISNUMBER(SEARCH("Medium-High",Q20)),3.5,IF(ISNUMBER(SEARCH("Low-Medium",Q20)),2,IF(ISNUMBER(SEARCH("High",Q20)),4,IF(ISNUMBER(SEARCH("Medium",Q20)),3,IF(ISNUMBER(SEARCH("Low",Q20)),1,0))))))</f>
        <v>4</v>
      </c>
      <c r="AL20" s="9" t="n">
        <f aca="false">AC20+ROW()/10000000</f>
        <v>20.500002</v>
      </c>
    </row>
    <row r="21" customFormat="false" ht="57.45" hidden="false" customHeight="false" outlineLevel="0" collapsed="false">
      <c r="A21" s="6" t="s">
        <v>395</v>
      </c>
      <c r="B21" s="10" t="s">
        <v>396</v>
      </c>
      <c r="C21" s="10" t="s">
        <v>397</v>
      </c>
      <c r="D21" s="6" t="s">
        <v>398</v>
      </c>
      <c r="E21" s="6" t="s">
        <v>399</v>
      </c>
      <c r="F21" s="6" t="s">
        <v>400</v>
      </c>
      <c r="G21" s="6" t="s">
        <v>44</v>
      </c>
      <c r="H21" s="6" t="s">
        <v>401</v>
      </c>
      <c r="I21" s="6" t="s">
        <v>402</v>
      </c>
      <c r="J21" s="6" t="s">
        <v>403</v>
      </c>
      <c r="K21" s="6" t="s">
        <v>404</v>
      </c>
      <c r="L21" s="13" t="s">
        <v>405</v>
      </c>
      <c r="M21" s="5" t="s">
        <v>74</v>
      </c>
      <c r="N21" s="6" t="s">
        <v>51</v>
      </c>
      <c r="O21" s="6"/>
      <c r="P21" s="4" t="s">
        <v>406</v>
      </c>
      <c r="Q21" s="4" t="s">
        <v>53</v>
      </c>
      <c r="R21" s="6" t="s">
        <v>347</v>
      </c>
      <c r="S21" s="6" t="s">
        <v>407</v>
      </c>
      <c r="T21" s="6" t="s">
        <v>408</v>
      </c>
      <c r="U21" s="6" t="s">
        <v>409</v>
      </c>
      <c r="V21" s="6" t="s">
        <v>410</v>
      </c>
      <c r="W21" s="6" t="s">
        <v>411</v>
      </c>
      <c r="X21" s="6" t="s">
        <v>412</v>
      </c>
      <c r="Y21" s="6" t="s">
        <v>413</v>
      </c>
      <c r="Z21" s="6" t="s">
        <v>414</v>
      </c>
      <c r="AA21" s="6" t="s">
        <v>415</v>
      </c>
      <c r="AB21" s="7"/>
      <c r="AC21" s="12" t="n">
        <f aca="false">ROUND((AK21*2)+(AJ21*2)+AVERAGE(AG21,AH21,AI21),1)</f>
        <v>18.2</v>
      </c>
      <c r="AD21" s="7"/>
      <c r="AE21" s="7"/>
      <c r="AF21" s="6" t="s">
        <v>64</v>
      </c>
      <c r="AG21" s="9" t="n">
        <f aca="false">IF(ISNUMBER(SEARCH("Very High",L21)),5,IF(ISNUMBER(SEARCH("Medium-High",L21)),3.5,IF(ISNUMBER(SEARCH("Low-Medium",L21)),2,IF(ISNUMBER(SEARCH("High",L21)),4,IF(ISNUMBER(SEARCH("Medium",L21)),3,IF(ISNUMBER(SEARCH("Low",L21)),1,0))))))</f>
        <v>3.5</v>
      </c>
      <c r="AH21" s="9" t="n">
        <f aca="false">IF(ISNUMBER(SEARCH("Very High",M21)),5,IF(ISNUMBER(SEARCH("Medium-High",M21)),3.5,IF(ISNUMBER(SEARCH("Low-Medium",M21)),2,IF(ISNUMBER(SEARCH("High",M21)),4,IF(ISNUMBER(SEARCH("Medium",M21)),3,IF(ISNUMBER(SEARCH("Low",M21)),1,0))))))</f>
        <v>3</v>
      </c>
      <c r="AI21" s="9" t="n">
        <f aca="false">IF(ISNUMBER(SEARCH("Very High",N21)),5,IF(ISNUMBER(SEARCH("Medium-High",N21)),3.5,IF(ISNUMBER(SEARCH("Low-Medium",N21)),2,IF(ISNUMBER(SEARCH("High",N21)),4,IF(ISNUMBER(SEARCH("Medium",N21)),3,IF(ISNUMBER(SEARCH("Low",N21)),1,0))))))</f>
        <v>0</v>
      </c>
      <c r="AJ21" s="9" t="n">
        <f aca="false">IF(ISNUMBER(SEARCH("Very High",P21)),5,IF(ISNUMBER(SEARCH("Medium-High",P21)),3.5,IF(ISNUMBER(SEARCH("Low-Medium",P21)),2,IF(ISNUMBER(SEARCH("High",P21)),4,IF(ISNUMBER(SEARCH("Medium",P21)),3,IF(ISNUMBER(SEARCH("Low",P21)),1,0))))))</f>
        <v>4</v>
      </c>
      <c r="AK21" s="9" t="n">
        <f aca="false">IF(ISNUMBER(SEARCH("Very High",Q21)),5,IF(ISNUMBER(SEARCH("Medium-High",Q21)),3.5,IF(ISNUMBER(SEARCH("Low-Medium",Q21)),2,IF(ISNUMBER(SEARCH("High",Q21)),4,IF(ISNUMBER(SEARCH("Medium",Q21)),3,IF(ISNUMBER(SEARCH("Low",Q21)),1,0))))))</f>
        <v>4</v>
      </c>
      <c r="AL21" s="9" t="n">
        <f aca="false">AC21+ROW()/10000000</f>
        <v>18.2000021</v>
      </c>
    </row>
    <row r="22" customFormat="false" ht="46.25" hidden="false" customHeight="false" outlineLevel="0" collapsed="false">
      <c r="A22" s="2" t="s">
        <v>416</v>
      </c>
      <c r="B22" s="3" t="s">
        <v>417</v>
      </c>
      <c r="C22" s="3" t="s">
        <v>418</v>
      </c>
      <c r="D22" s="2" t="s">
        <v>419</v>
      </c>
      <c r="E22" s="2" t="s">
        <v>420</v>
      </c>
      <c r="F22" s="2" t="s">
        <v>400</v>
      </c>
      <c r="G22" s="2" t="s">
        <v>44</v>
      </c>
      <c r="H22" s="2" t="s">
        <v>421</v>
      </c>
      <c r="I22" s="2" t="s">
        <v>422</v>
      </c>
      <c r="J22" s="2" t="s">
        <v>423</v>
      </c>
      <c r="K22" s="2" t="s">
        <v>424</v>
      </c>
      <c r="L22" s="13" t="s">
        <v>94</v>
      </c>
      <c r="M22" s="5" t="s">
        <v>74</v>
      </c>
      <c r="N22" s="6" t="s">
        <v>51</v>
      </c>
      <c r="O22" s="2"/>
      <c r="P22" s="4" t="s">
        <v>425</v>
      </c>
      <c r="Q22" s="4" t="s">
        <v>53</v>
      </c>
      <c r="R22" s="2" t="s">
        <v>347</v>
      </c>
      <c r="S22" s="2" t="s">
        <v>426</v>
      </c>
      <c r="T22" s="2" t="s">
        <v>408</v>
      </c>
      <c r="U22" s="2" t="s">
        <v>176</v>
      </c>
      <c r="V22" s="2" t="s">
        <v>250</v>
      </c>
      <c r="W22" s="2" t="s">
        <v>100</v>
      </c>
      <c r="X22" s="2" t="s">
        <v>427</v>
      </c>
      <c r="Y22" s="2" t="s">
        <v>428</v>
      </c>
      <c r="Z22" s="2" t="s">
        <v>429</v>
      </c>
      <c r="AA22" s="2" t="s">
        <v>430</v>
      </c>
      <c r="AB22" s="7"/>
      <c r="AC22" s="8" t="n">
        <f aca="false">ROUND((AK22*2)+(AJ22*2)+AVERAGE(AG22,AH22,AI22),1)</f>
        <v>18.2</v>
      </c>
      <c r="AD22" s="7"/>
      <c r="AE22" s="7"/>
      <c r="AF22" s="2" t="s">
        <v>64</v>
      </c>
      <c r="AG22" s="9" t="n">
        <f aca="false">IF(ISNUMBER(SEARCH("Very High",L22)),5,IF(ISNUMBER(SEARCH("Medium-High",L22)),3.5,IF(ISNUMBER(SEARCH("Low-Medium",L22)),2,IF(ISNUMBER(SEARCH("High",L22)),4,IF(ISNUMBER(SEARCH("Medium",L22)),3,IF(ISNUMBER(SEARCH("Low",L22)),1,0))))))</f>
        <v>3.5</v>
      </c>
      <c r="AH22" s="9" t="n">
        <f aca="false">IF(ISNUMBER(SEARCH("Very High",M22)),5,IF(ISNUMBER(SEARCH("Medium-High",M22)),3.5,IF(ISNUMBER(SEARCH("Low-Medium",M22)),2,IF(ISNUMBER(SEARCH("High",M22)),4,IF(ISNUMBER(SEARCH("Medium",M22)),3,IF(ISNUMBER(SEARCH("Low",M22)),1,0))))))</f>
        <v>3</v>
      </c>
      <c r="AI22" s="9" t="n">
        <f aca="false">IF(ISNUMBER(SEARCH("Very High",N22)),5,IF(ISNUMBER(SEARCH("Medium-High",N22)),3.5,IF(ISNUMBER(SEARCH("Low-Medium",N22)),2,IF(ISNUMBER(SEARCH("High",N22)),4,IF(ISNUMBER(SEARCH("Medium",N22)),3,IF(ISNUMBER(SEARCH("Low",N22)),1,0))))))</f>
        <v>0</v>
      </c>
      <c r="AJ22" s="9" t="n">
        <f aca="false">IF(ISNUMBER(SEARCH("Very High",P22)),5,IF(ISNUMBER(SEARCH("Medium-High",P22)),3.5,IF(ISNUMBER(SEARCH("Low-Medium",P22)),2,IF(ISNUMBER(SEARCH("High",P22)),4,IF(ISNUMBER(SEARCH("Medium",P22)),3,IF(ISNUMBER(SEARCH("Low",P22)),1,0))))))</f>
        <v>4</v>
      </c>
      <c r="AK22" s="9" t="n">
        <f aca="false">IF(ISNUMBER(SEARCH("Very High",Q22)),5,IF(ISNUMBER(SEARCH("Medium-High",Q22)),3.5,IF(ISNUMBER(SEARCH("Low-Medium",Q22)),2,IF(ISNUMBER(SEARCH("High",Q22)),4,IF(ISNUMBER(SEARCH("Medium",Q22)),3,IF(ISNUMBER(SEARCH("Low",Q22)),1,0))))))</f>
        <v>4</v>
      </c>
      <c r="AL22" s="9" t="n">
        <f aca="false">AC22+ROW()/10000000</f>
        <v>18.2000022</v>
      </c>
    </row>
    <row r="23" customFormat="false" ht="46.25" hidden="false" customHeight="false" outlineLevel="0" collapsed="false">
      <c r="A23" s="6" t="s">
        <v>431</v>
      </c>
      <c r="B23" s="10" t="s">
        <v>432</v>
      </c>
      <c r="C23" s="10" t="s">
        <v>433</v>
      </c>
      <c r="D23" s="6" t="s">
        <v>398</v>
      </c>
      <c r="E23" s="6" t="s">
        <v>434</v>
      </c>
      <c r="F23" s="6" t="s">
        <v>400</v>
      </c>
      <c r="G23" s="6" t="s">
        <v>44</v>
      </c>
      <c r="H23" s="6" t="s">
        <v>435</v>
      </c>
      <c r="I23" s="6" t="s">
        <v>243</v>
      </c>
      <c r="J23" s="6" t="s">
        <v>436</v>
      </c>
      <c r="K23" s="6" t="s">
        <v>437</v>
      </c>
      <c r="L23" s="5" t="s">
        <v>74</v>
      </c>
      <c r="M23" s="14" t="s">
        <v>192</v>
      </c>
      <c r="N23" s="6" t="s">
        <v>51</v>
      </c>
      <c r="O23" s="6"/>
      <c r="P23" s="5" t="s">
        <v>438</v>
      </c>
      <c r="Q23" s="5" t="s">
        <v>74</v>
      </c>
      <c r="R23" s="6" t="s">
        <v>347</v>
      </c>
      <c r="S23" s="6" t="s">
        <v>439</v>
      </c>
      <c r="T23" s="6" t="s">
        <v>440</v>
      </c>
      <c r="U23" s="6" t="s">
        <v>176</v>
      </c>
      <c r="V23" s="6" t="s">
        <v>250</v>
      </c>
      <c r="W23" s="6" t="s">
        <v>100</v>
      </c>
      <c r="X23" s="6" t="s">
        <v>441</v>
      </c>
      <c r="Y23" s="6" t="s">
        <v>442</v>
      </c>
      <c r="Z23" s="6" t="s">
        <v>443</v>
      </c>
      <c r="AA23" s="6" t="s">
        <v>444</v>
      </c>
      <c r="AB23" s="7"/>
      <c r="AC23" s="12" t="n">
        <f aca="false">ROUND((AK23*2)+(AJ23*2)+AVERAGE(AG23,AH23,AI23),1)</f>
        <v>13.7</v>
      </c>
      <c r="AD23" s="7"/>
      <c r="AE23" s="7"/>
      <c r="AF23" s="6" t="s">
        <v>64</v>
      </c>
      <c r="AG23" s="9" t="n">
        <f aca="false">IF(ISNUMBER(SEARCH("Very High",L23)),5,IF(ISNUMBER(SEARCH("Medium-High",L23)),3.5,IF(ISNUMBER(SEARCH("Low-Medium",L23)),2,IF(ISNUMBER(SEARCH("High",L23)),4,IF(ISNUMBER(SEARCH("Medium",L23)),3,IF(ISNUMBER(SEARCH("Low",L23)),1,0))))))</f>
        <v>3</v>
      </c>
      <c r="AH23" s="9" t="n">
        <f aca="false">IF(ISNUMBER(SEARCH("Very High",M23)),5,IF(ISNUMBER(SEARCH("Medium-High",M23)),3.5,IF(ISNUMBER(SEARCH("Low-Medium",M23)),2,IF(ISNUMBER(SEARCH("High",M23)),4,IF(ISNUMBER(SEARCH("Medium",M23)),3,IF(ISNUMBER(SEARCH("Low",M23)),1,0))))))</f>
        <v>2</v>
      </c>
      <c r="AI23" s="9" t="n">
        <f aca="false">IF(ISNUMBER(SEARCH("Very High",N23)),5,IF(ISNUMBER(SEARCH("Medium-High",N23)),3.5,IF(ISNUMBER(SEARCH("Low-Medium",N23)),2,IF(ISNUMBER(SEARCH("High",N23)),4,IF(ISNUMBER(SEARCH("Medium",N23)),3,IF(ISNUMBER(SEARCH("Low",N23)),1,0))))))</f>
        <v>0</v>
      </c>
      <c r="AJ23" s="9" t="n">
        <f aca="false">IF(ISNUMBER(SEARCH("Very High",P23)),5,IF(ISNUMBER(SEARCH("Medium-High",P23)),3.5,IF(ISNUMBER(SEARCH("Low-Medium",P23)),2,IF(ISNUMBER(SEARCH("High",P23)),4,IF(ISNUMBER(SEARCH("Medium",P23)),3,IF(ISNUMBER(SEARCH("Low",P23)),1,0))))))</f>
        <v>3</v>
      </c>
      <c r="AK23" s="9" t="n">
        <f aca="false">IF(ISNUMBER(SEARCH("Very High",Q23)),5,IF(ISNUMBER(SEARCH("Medium-High",Q23)),3.5,IF(ISNUMBER(SEARCH("Low-Medium",Q23)),2,IF(ISNUMBER(SEARCH("High",Q23)),4,IF(ISNUMBER(SEARCH("Medium",Q23)),3,IF(ISNUMBER(SEARCH("Low",Q23)),1,0))))))</f>
        <v>3</v>
      </c>
      <c r="AL23" s="9" t="n">
        <f aca="false">AC23+ROW()/10000000</f>
        <v>13.7000023</v>
      </c>
    </row>
    <row r="24" customFormat="false" ht="46.25" hidden="false" customHeight="false" outlineLevel="0" collapsed="false">
      <c r="A24" s="2" t="s">
        <v>445</v>
      </c>
      <c r="B24" s="3" t="s">
        <v>446</v>
      </c>
      <c r="C24" s="3" t="s">
        <v>447</v>
      </c>
      <c r="D24" s="2" t="s">
        <v>398</v>
      </c>
      <c r="E24" s="2" t="s">
        <v>448</v>
      </c>
      <c r="F24" s="2" t="s">
        <v>400</v>
      </c>
      <c r="G24" s="2" t="s">
        <v>44</v>
      </c>
      <c r="H24" s="2" t="s">
        <v>449</v>
      </c>
      <c r="I24" s="2" t="s">
        <v>450</v>
      </c>
      <c r="J24" s="2" t="s">
        <v>451</v>
      </c>
      <c r="K24" s="2" t="s">
        <v>452</v>
      </c>
      <c r="L24" s="13" t="s">
        <v>94</v>
      </c>
      <c r="M24" s="5" t="s">
        <v>74</v>
      </c>
      <c r="N24" s="6" t="s">
        <v>51</v>
      </c>
      <c r="O24" s="2"/>
      <c r="P24" s="4" t="s">
        <v>425</v>
      </c>
      <c r="Q24" s="4" t="s">
        <v>53</v>
      </c>
      <c r="R24" s="2" t="s">
        <v>347</v>
      </c>
      <c r="S24" s="2" t="s">
        <v>453</v>
      </c>
      <c r="T24" s="2" t="s">
        <v>408</v>
      </c>
      <c r="U24" s="2" t="s">
        <v>176</v>
      </c>
      <c r="V24" s="2" t="s">
        <v>250</v>
      </c>
      <c r="W24" s="2" t="s">
        <v>411</v>
      </c>
      <c r="X24" s="2" t="s">
        <v>454</v>
      </c>
      <c r="Y24" s="2" t="s">
        <v>455</v>
      </c>
      <c r="Z24" s="2" t="s">
        <v>456</v>
      </c>
      <c r="AA24" s="2" t="s">
        <v>457</v>
      </c>
      <c r="AB24" s="7"/>
      <c r="AC24" s="8" t="n">
        <f aca="false">ROUND((AK24*2)+(AJ24*2)+AVERAGE(AG24,AH24,AI24),1)</f>
        <v>18.2</v>
      </c>
      <c r="AD24" s="7"/>
      <c r="AE24" s="7"/>
      <c r="AF24" s="2" t="s">
        <v>64</v>
      </c>
      <c r="AG24" s="9" t="n">
        <f aca="false">IF(ISNUMBER(SEARCH("Very High",L24)),5,IF(ISNUMBER(SEARCH("Medium-High",L24)),3.5,IF(ISNUMBER(SEARCH("Low-Medium",L24)),2,IF(ISNUMBER(SEARCH("High",L24)),4,IF(ISNUMBER(SEARCH("Medium",L24)),3,IF(ISNUMBER(SEARCH("Low",L24)),1,0))))))</f>
        <v>3.5</v>
      </c>
      <c r="AH24" s="9" t="n">
        <f aca="false">IF(ISNUMBER(SEARCH("Very High",M24)),5,IF(ISNUMBER(SEARCH("Medium-High",M24)),3.5,IF(ISNUMBER(SEARCH("Low-Medium",M24)),2,IF(ISNUMBER(SEARCH("High",M24)),4,IF(ISNUMBER(SEARCH("Medium",M24)),3,IF(ISNUMBER(SEARCH("Low",M24)),1,0))))))</f>
        <v>3</v>
      </c>
      <c r="AI24" s="9" t="n">
        <f aca="false">IF(ISNUMBER(SEARCH("Very High",N24)),5,IF(ISNUMBER(SEARCH("Medium-High",N24)),3.5,IF(ISNUMBER(SEARCH("Low-Medium",N24)),2,IF(ISNUMBER(SEARCH("High",N24)),4,IF(ISNUMBER(SEARCH("Medium",N24)),3,IF(ISNUMBER(SEARCH("Low",N24)),1,0))))))</f>
        <v>0</v>
      </c>
      <c r="AJ24" s="9" t="n">
        <f aca="false">IF(ISNUMBER(SEARCH("Very High",P24)),5,IF(ISNUMBER(SEARCH("Medium-High",P24)),3.5,IF(ISNUMBER(SEARCH("Low-Medium",P24)),2,IF(ISNUMBER(SEARCH("High",P24)),4,IF(ISNUMBER(SEARCH("Medium",P24)),3,IF(ISNUMBER(SEARCH("Low",P24)),1,0))))))</f>
        <v>4</v>
      </c>
      <c r="AK24" s="9" t="n">
        <f aca="false">IF(ISNUMBER(SEARCH("Very High",Q24)),5,IF(ISNUMBER(SEARCH("Medium-High",Q24)),3.5,IF(ISNUMBER(SEARCH("Low-Medium",Q24)),2,IF(ISNUMBER(SEARCH("High",Q24)),4,IF(ISNUMBER(SEARCH("Medium",Q24)),3,IF(ISNUMBER(SEARCH("Low",Q24)),1,0))))))</f>
        <v>4</v>
      </c>
      <c r="AL24" s="9" t="n">
        <f aca="false">AC24+ROW()/10000000</f>
        <v>18.2000024</v>
      </c>
    </row>
    <row r="25" customFormat="false" ht="57.45" hidden="false" customHeight="false" outlineLevel="0" collapsed="false">
      <c r="A25" s="6" t="s">
        <v>458</v>
      </c>
      <c r="B25" s="10" t="s">
        <v>459</v>
      </c>
      <c r="C25" s="10" t="s">
        <v>460</v>
      </c>
      <c r="D25" s="6" t="s">
        <v>461</v>
      </c>
      <c r="E25" s="6" t="s">
        <v>462</v>
      </c>
      <c r="F25" s="6" t="s">
        <v>463</v>
      </c>
      <c r="G25" s="6" t="s">
        <v>44</v>
      </c>
      <c r="H25" s="6" t="s">
        <v>464</v>
      </c>
      <c r="I25" s="6" t="s">
        <v>465</v>
      </c>
      <c r="J25" s="6" t="s">
        <v>466</v>
      </c>
      <c r="K25" s="6" t="s">
        <v>467</v>
      </c>
      <c r="L25" s="4" t="s">
        <v>468</v>
      </c>
      <c r="M25" s="5" t="s">
        <v>74</v>
      </c>
      <c r="N25" s="6" t="s">
        <v>51</v>
      </c>
      <c r="O25" s="6"/>
      <c r="P25" s="4" t="s">
        <v>469</v>
      </c>
      <c r="Q25" s="4" t="s">
        <v>53</v>
      </c>
      <c r="R25" s="6" t="s">
        <v>470</v>
      </c>
      <c r="S25" s="6" t="s">
        <v>471</v>
      </c>
      <c r="T25" s="6" t="s">
        <v>472</v>
      </c>
      <c r="U25" s="6" t="s">
        <v>473</v>
      </c>
      <c r="V25" s="6" t="s">
        <v>474</v>
      </c>
      <c r="W25" s="6" t="s">
        <v>100</v>
      </c>
      <c r="X25" s="6" t="s">
        <v>475</v>
      </c>
      <c r="Y25" s="6" t="s">
        <v>476</v>
      </c>
      <c r="Z25" s="6" t="s">
        <v>477</v>
      </c>
      <c r="AA25" s="6" t="s">
        <v>478</v>
      </c>
      <c r="AB25" s="7"/>
      <c r="AC25" s="12" t="n">
        <f aca="false">ROUND((AK25*2)+(AJ25*2)+AVERAGE(AG25,AH25,AI25),1)</f>
        <v>18.3</v>
      </c>
      <c r="AD25" s="7"/>
      <c r="AE25" s="7"/>
      <c r="AF25" s="6" t="s">
        <v>64</v>
      </c>
      <c r="AG25" s="9" t="n">
        <f aca="false">IF(ISNUMBER(SEARCH("Very High",L25)),5,IF(ISNUMBER(SEARCH("Medium-High",L25)),3.5,IF(ISNUMBER(SEARCH("Low-Medium",L25)),2,IF(ISNUMBER(SEARCH("High",L25)),4,IF(ISNUMBER(SEARCH("Medium",L25)),3,IF(ISNUMBER(SEARCH("Low",L25)),1,0))))))</f>
        <v>4</v>
      </c>
      <c r="AH25" s="9" t="n">
        <f aca="false">IF(ISNUMBER(SEARCH("Very High",M25)),5,IF(ISNUMBER(SEARCH("Medium-High",M25)),3.5,IF(ISNUMBER(SEARCH("Low-Medium",M25)),2,IF(ISNUMBER(SEARCH("High",M25)),4,IF(ISNUMBER(SEARCH("Medium",M25)),3,IF(ISNUMBER(SEARCH("Low",M25)),1,0))))))</f>
        <v>3</v>
      </c>
      <c r="AI25" s="9" t="n">
        <f aca="false">IF(ISNUMBER(SEARCH("Very High",N25)),5,IF(ISNUMBER(SEARCH("Medium-High",N25)),3.5,IF(ISNUMBER(SEARCH("Low-Medium",N25)),2,IF(ISNUMBER(SEARCH("High",N25)),4,IF(ISNUMBER(SEARCH("Medium",N25)),3,IF(ISNUMBER(SEARCH("Low",N25)),1,0))))))</f>
        <v>0</v>
      </c>
      <c r="AJ25" s="9" t="n">
        <f aca="false">IF(ISNUMBER(SEARCH("Very High",P25)),5,IF(ISNUMBER(SEARCH("Medium-High",P25)),3.5,IF(ISNUMBER(SEARCH("Low-Medium",P25)),2,IF(ISNUMBER(SEARCH("High",P25)),4,IF(ISNUMBER(SEARCH("Medium",P25)),3,IF(ISNUMBER(SEARCH("Low",P25)),1,0))))))</f>
        <v>4</v>
      </c>
      <c r="AK25" s="9" t="n">
        <f aca="false">IF(ISNUMBER(SEARCH("Very High",Q25)),5,IF(ISNUMBER(SEARCH("Medium-High",Q25)),3.5,IF(ISNUMBER(SEARCH("Low-Medium",Q25)),2,IF(ISNUMBER(SEARCH("High",Q25)),4,IF(ISNUMBER(SEARCH("Medium",Q25)),3,IF(ISNUMBER(SEARCH("Low",Q25)),1,0))))))</f>
        <v>4</v>
      </c>
      <c r="AL25" s="9" t="n">
        <f aca="false">AC25+ROW()/10000000</f>
        <v>18.3000025</v>
      </c>
    </row>
    <row r="26" customFormat="false" ht="46.25" hidden="false" customHeight="false" outlineLevel="0" collapsed="false">
      <c r="A26" s="2" t="s">
        <v>479</v>
      </c>
      <c r="B26" s="3" t="s">
        <v>480</v>
      </c>
      <c r="C26" s="3" t="s">
        <v>481</v>
      </c>
      <c r="D26" s="2" t="s">
        <v>482</v>
      </c>
      <c r="E26" s="2" t="s">
        <v>483</v>
      </c>
      <c r="F26" s="2" t="s">
        <v>484</v>
      </c>
      <c r="G26" s="2" t="s">
        <v>44</v>
      </c>
      <c r="H26" s="2" t="s">
        <v>485</v>
      </c>
      <c r="I26" s="2" t="s">
        <v>486</v>
      </c>
      <c r="J26" s="2" t="s">
        <v>487</v>
      </c>
      <c r="K26" s="2" t="s">
        <v>488</v>
      </c>
      <c r="L26" s="5" t="s">
        <v>74</v>
      </c>
      <c r="M26" s="14" t="s">
        <v>192</v>
      </c>
      <c r="N26" s="6" t="s">
        <v>51</v>
      </c>
      <c r="O26" s="2"/>
      <c r="P26" s="13" t="s">
        <v>489</v>
      </c>
      <c r="Q26" s="13" t="s">
        <v>94</v>
      </c>
      <c r="R26" s="2" t="s">
        <v>470</v>
      </c>
      <c r="S26" s="2" t="s">
        <v>490</v>
      </c>
      <c r="T26" s="2" t="s">
        <v>491</v>
      </c>
      <c r="U26" s="2" t="s">
        <v>492</v>
      </c>
      <c r="V26" s="2" t="s">
        <v>493</v>
      </c>
      <c r="W26" s="2" t="s">
        <v>100</v>
      </c>
      <c r="X26" s="2" t="s">
        <v>494</v>
      </c>
      <c r="Y26" s="2" t="s">
        <v>495</v>
      </c>
      <c r="Z26" s="2" t="s">
        <v>496</v>
      </c>
      <c r="AA26" s="2" t="s">
        <v>497</v>
      </c>
      <c r="AB26" s="7"/>
      <c r="AC26" s="8" t="n">
        <f aca="false">ROUND((AK26*2)+(AJ26*2)+AVERAGE(AG26,AH26,AI26),1)</f>
        <v>15.7</v>
      </c>
      <c r="AD26" s="7"/>
      <c r="AE26" s="7"/>
      <c r="AF26" s="2" t="s">
        <v>64</v>
      </c>
      <c r="AG26" s="9" t="n">
        <f aca="false">IF(ISNUMBER(SEARCH("Very High",L26)),5,IF(ISNUMBER(SEARCH("Medium-High",L26)),3.5,IF(ISNUMBER(SEARCH("Low-Medium",L26)),2,IF(ISNUMBER(SEARCH("High",L26)),4,IF(ISNUMBER(SEARCH("Medium",L26)),3,IF(ISNUMBER(SEARCH("Low",L26)),1,0))))))</f>
        <v>3</v>
      </c>
      <c r="AH26" s="9" t="n">
        <f aca="false">IF(ISNUMBER(SEARCH("Very High",M26)),5,IF(ISNUMBER(SEARCH("Medium-High",M26)),3.5,IF(ISNUMBER(SEARCH("Low-Medium",M26)),2,IF(ISNUMBER(SEARCH("High",M26)),4,IF(ISNUMBER(SEARCH("Medium",M26)),3,IF(ISNUMBER(SEARCH("Low",M26)),1,0))))))</f>
        <v>2</v>
      </c>
      <c r="AI26" s="9" t="n">
        <f aca="false">IF(ISNUMBER(SEARCH("Very High",N26)),5,IF(ISNUMBER(SEARCH("Medium-High",N26)),3.5,IF(ISNUMBER(SEARCH("Low-Medium",N26)),2,IF(ISNUMBER(SEARCH("High",N26)),4,IF(ISNUMBER(SEARCH("Medium",N26)),3,IF(ISNUMBER(SEARCH("Low",N26)),1,0))))))</f>
        <v>0</v>
      </c>
      <c r="AJ26" s="9" t="n">
        <f aca="false">IF(ISNUMBER(SEARCH("Very High",P26)),5,IF(ISNUMBER(SEARCH("Medium-High",P26)),3.5,IF(ISNUMBER(SEARCH("Low-Medium",P26)),2,IF(ISNUMBER(SEARCH("High",P26)),4,IF(ISNUMBER(SEARCH("Medium",P26)),3,IF(ISNUMBER(SEARCH("Low",P26)),1,0))))))</f>
        <v>3.5</v>
      </c>
      <c r="AK26" s="9" t="n">
        <f aca="false">IF(ISNUMBER(SEARCH("Very High",Q26)),5,IF(ISNUMBER(SEARCH("Medium-High",Q26)),3.5,IF(ISNUMBER(SEARCH("Low-Medium",Q26)),2,IF(ISNUMBER(SEARCH("High",Q26)),4,IF(ISNUMBER(SEARCH("Medium",Q26)),3,IF(ISNUMBER(SEARCH("Low",Q26)),1,0))))))</f>
        <v>3.5</v>
      </c>
      <c r="AL26" s="9" t="n">
        <f aca="false">AC26+ROW()/10000000</f>
        <v>15.7000026</v>
      </c>
    </row>
  </sheetData>
  <autoFilter ref="A1:AL26"/>
  <conditionalFormatting sqref="AC2:AC26">
    <cfRule type="cellIs" priority="2" operator="greaterThanOrEqual" aboveAverage="0" equalAverage="0" bottom="0" percent="0" rank="0" text="" dxfId="13">
      <formula>22</formula>
    </cfRule>
    <cfRule type="cellIs" priority="3" operator="greaterThanOrEqual" aboveAverage="0" equalAverage="0" bottom="0" percent="0" rank="0" text="" dxfId="14">
      <formula>18</formula>
    </cfRule>
    <cfRule type="cellIs" priority="4" operator="greaterThanOrEqual" aboveAverage="0" equalAverage="0" bottom="0" percent="0" rank="0" text="" dxfId="15">
      <formula>14</formula>
    </cfRule>
    <cfRule type="cellIs" priority="5" operator="greaterThanOrEqual" aboveAverage="0" equalAverage="0" bottom="0" percent="0" rank="0" text="" dxfId="16">
      <formula>10</formula>
    </cfRule>
    <cfRule type="cellIs" priority="6" operator="greaterThanOrEqual" aboveAverage="0" equalAverage="0" bottom="0" percent="0" rank="0" text="" dxfId="17">
      <formula>7</formula>
    </cfRule>
    <cfRule type="cellIs" priority="7" operator="lessThan" aboveAverage="0" equalAverage="0" bottom="0" percent="0" rank="0" text="" dxfId="18">
      <formula>7</formula>
    </cfRule>
  </conditionalFormatting>
  <hyperlinks>
    <hyperlink ref="B2" r:id="rId2" display="https://www2.deloitte.com"/>
    <hyperlink ref="C2" r:id="rId3" display="https://apply.deloitte.com/careers"/>
    <hyperlink ref="B3" r:id="rId4" display="https://www.ey.com"/>
    <hyperlink ref="C3" r:id="rId5" display="https://careers.ey.com"/>
    <hyperlink ref="B4" r:id="rId6" display="https://kpmg.com"/>
    <hyperlink ref="C4" r:id="rId7" display="https://kpmg.com/us/en/careers.html"/>
    <hyperlink ref="B5" r:id="rId8" display="https://www.pwc.com"/>
    <hyperlink ref="C5" r:id="rId9" display="https://www.pwc.com/us/en/careers.html"/>
    <hyperlink ref="B6" r:id="rId10" display="https://www.accenture.com"/>
    <hyperlink ref="C6" r:id="rId11" display="https://www.accenture.com/us-en/careers"/>
    <hyperlink ref="B7" r:id="rId12" display="https://www.ibm.com"/>
    <hyperlink ref="C7" r:id="rId13" display="https://www.ibm.com/careers"/>
    <hyperlink ref="B8" r:id="rId14" display="https://www.capgemini.com"/>
    <hyperlink ref="C8" r:id="rId15" display="https://www.capgemini.com/careers/"/>
    <hyperlink ref="B9" r:id="rId16" display="https://www.cgi.com"/>
    <hyperlink ref="C9" r:id="rId17" display="https://www.cgi.com/en/careers"/>
    <hyperlink ref="B10" r:id="rId18" display="https://eviden.com"/>
    <hyperlink ref="C10" r:id="rId19" display="https://eviden.com/careers/"/>
    <hyperlink ref="B11" r:id="rId20" display="https://dxc.com"/>
    <hyperlink ref="C11" r:id="rId21" display="https://dxc.com/us/en/careers"/>
    <hyperlink ref="B12" r:id="rId22" display="https://www.nttdata.com"/>
    <hyperlink ref="C12" r:id="rId23" display="https://www.nttdata.com/global/en/careers"/>
    <hyperlink ref="B13" r:id="rId24" display="https://www.wipro.com"/>
    <hyperlink ref="C13" r:id="rId25" display="https://careers.wipro.com"/>
    <hyperlink ref="B14" r:id="rId26" display="https://www.hcltech.com"/>
    <hyperlink ref="C14" r:id="rId27" display="https://www.hcltech.com/careers"/>
    <hyperlink ref="B15" r:id="rId28" display="https://www.infosys.com"/>
    <hyperlink ref="C15" r:id="rId29" display="https://www.infosys.com/careers"/>
    <hyperlink ref="B16" r:id="rId30" display="https://www.tcs.com"/>
    <hyperlink ref="C16" r:id="rId31" display="https://www.tcs.com/careers"/>
    <hyperlink ref="B17" r:id="rId32" display="https://www.boozallen.com"/>
    <hyperlink ref="C17" r:id="rId33" display="https://www.boozallen.com/careers.html"/>
    <hyperlink ref="B18" r:id="rId34" display="https://www.honeywell.com/us/en/services/cybersecurity"/>
    <hyperlink ref="C18" r:id="rId35" display="https://careers.honeywell.com"/>
    <hyperlink ref="B19" r:id="rId36" display="https://www.siemens.com"/>
    <hyperlink ref="C19" r:id="rId37" display="https://jobs.siemens.com"/>
    <hyperlink ref="B20" r:id="rId38" display="https://www.se.com"/>
    <hyperlink ref="C20" r:id="rId39" display="https://www.se.com/us/en/about-us/careers/"/>
    <hyperlink ref="B21" r:id="rId40" display="https://www.rockwellautomation.com"/>
    <hyperlink ref="C21" r:id="rId41" display="https://www.rockwellautomation.com/en-us/company/careers.html"/>
    <hyperlink ref="B22" r:id="rId42" display="https://global.abb"/>
    <hyperlink ref="C22" r:id="rId43" display="https://global.abb/group/en/careers"/>
    <hyperlink ref="B23" r:id="rId44" display="https://www.yokogawa.com"/>
    <hyperlink ref="C23" r:id="rId45" display="https://www.yokogawa.com/us/about-us/careers/"/>
    <hyperlink ref="B24" r:id="rId46" display="https://www.emerson.com"/>
    <hyperlink ref="C24" r:id="rId47" display="https://www.emerson.com/en-us/about-us/careers"/>
    <hyperlink ref="B25" r:id="rId48" display="https://1898andco.burnsmcd.com"/>
    <hyperlink ref="C25" r:id="rId49" display="https://burnsmcd.com/careers"/>
    <hyperlink ref="B26" r:id="rId50" display="https://www.abs-group.com"/>
    <hyperlink ref="C26" r:id="rId51" display="https://www.abs-group.com/About-Us/Career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2"/>
  <legacyDrawing r:id="rId5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22"/>
    <col collapsed="false" customWidth="true" hidden="false" outlineLevel="0" max="4" min="4" style="0" width="20"/>
    <col collapsed="false" customWidth="true" hidden="false" outlineLevel="0" max="5" min="5" style="0" width="14"/>
    <col collapsed="false" customWidth="true" hidden="false" outlineLevel="0" max="6" min="6" style="0" width="26"/>
    <col collapsed="false" customWidth="true" hidden="false" outlineLevel="0" max="7" min="7" style="0" width="24"/>
    <col collapsed="false" customWidth="true" hidden="false" outlineLevel="0" max="8" min="8" style="0" width="14"/>
    <col collapsed="false" customWidth="true" hidden="false" outlineLevel="0" max="9" min="9" style="0" width="28"/>
    <col collapsed="false" customWidth="true" hidden="false" outlineLevel="0" max="10" min="10" style="0" width="30"/>
  </cols>
  <sheetData>
    <row r="1" customFormat="false" ht="15" hidden="false" customHeight="false" outlineLevel="0" collapsed="false">
      <c r="A1" s="16" t="s">
        <v>0</v>
      </c>
      <c r="B1" s="16" t="s">
        <v>1</v>
      </c>
      <c r="C1" s="16" t="s">
        <v>3</v>
      </c>
      <c r="D1" s="16" t="s">
        <v>5</v>
      </c>
      <c r="E1" s="16" t="s">
        <v>6</v>
      </c>
      <c r="F1" s="16" t="s">
        <v>8</v>
      </c>
      <c r="G1" s="16" t="s">
        <v>9</v>
      </c>
      <c r="H1" s="16" t="s">
        <v>16</v>
      </c>
      <c r="I1" s="16" t="s">
        <v>17</v>
      </c>
      <c r="J1" s="16" t="s">
        <v>26</v>
      </c>
    </row>
    <row r="3" customFormat="false" ht="60" hidden="false" customHeight="true" outlineLevel="0" collapsed="false">
      <c r="A3" s="17" t="s">
        <v>498</v>
      </c>
      <c r="B3" s="17"/>
      <c r="C3" s="17"/>
      <c r="D3" s="17"/>
      <c r="E3" s="17"/>
      <c r="F3" s="17"/>
      <c r="G3" s="17"/>
      <c r="H3" s="17"/>
      <c r="I3" s="17"/>
      <c r="J3" s="17"/>
    </row>
  </sheetData>
  <mergeCells count="1">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8" t="s">
        <v>499</v>
      </c>
      <c r="B1" s="18"/>
    </row>
    <row r="3" customFormat="false" ht="105" hidden="false" customHeight="true" outlineLevel="0" collapsed="false">
      <c r="A3" s="19" t="s">
        <v>500</v>
      </c>
      <c r="B3" s="20" t="s">
        <v>501</v>
      </c>
    </row>
    <row r="5" customFormat="false" ht="75" hidden="false" customHeight="true" outlineLevel="0" collapsed="false">
      <c r="A5" s="19" t="s">
        <v>502</v>
      </c>
      <c r="B5" s="20" t="s">
        <v>503</v>
      </c>
    </row>
    <row r="7" customFormat="false" ht="75" hidden="false" customHeight="true" outlineLevel="0" collapsed="false">
      <c r="A7" s="19" t="s">
        <v>504</v>
      </c>
      <c r="B7" s="20" t="s">
        <v>505</v>
      </c>
    </row>
    <row r="9" customFormat="false" ht="139.5" hidden="false" customHeight="true" outlineLevel="0" collapsed="false">
      <c r="A9" s="19" t="s">
        <v>506</v>
      </c>
      <c r="B9" s="20" t="s">
        <v>507</v>
      </c>
    </row>
    <row r="11" customFormat="false" ht="90" hidden="false" customHeight="true" outlineLevel="0" collapsed="false">
      <c r="A11" s="19" t="s">
        <v>508</v>
      </c>
      <c r="B11" s="20" t="s">
        <v>509</v>
      </c>
    </row>
    <row r="13" customFormat="false" ht="45" hidden="false" customHeight="true" outlineLevel="0" collapsed="false">
      <c r="A13" s="19" t="s">
        <v>510</v>
      </c>
      <c r="B13" s="20" t="s">
        <v>511</v>
      </c>
    </row>
    <row r="15" customFormat="false" ht="30" hidden="false" customHeight="true" outlineLevel="0" collapsed="false">
      <c r="A15" s="19" t="s">
        <v>512</v>
      </c>
      <c r="B15" s="20" t="s">
        <v>513</v>
      </c>
    </row>
    <row r="17" customFormat="false" ht="45" hidden="false" customHeight="true" outlineLevel="0" collapsed="false">
      <c r="A17" s="19" t="s">
        <v>514</v>
      </c>
      <c r="B17" s="20" t="s">
        <v>515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2"/>
  </cols>
  <sheetData>
    <row r="1" customFormat="false" ht="17.35" hidden="false" customHeight="false" outlineLevel="0" collapsed="false">
      <c r="A1" s="18" t="s">
        <v>516</v>
      </c>
      <c r="B1" s="18"/>
      <c r="C1" s="18"/>
    </row>
    <row r="3" customFormat="false" ht="15" hidden="false" customHeight="false" outlineLevel="0" collapsed="false">
      <c r="A3" s="21" t="s">
        <v>517</v>
      </c>
    </row>
    <row r="4" customFormat="false" ht="15" hidden="false" customHeight="false" outlineLevel="0" collapsed="false">
      <c r="A4" s="16" t="s">
        <v>518</v>
      </c>
      <c r="B4" s="16" t="s">
        <v>519</v>
      </c>
    </row>
    <row r="5" customFormat="false" ht="15" hidden="false" customHeight="false" outlineLevel="0" collapsed="false">
      <c r="A5" s="0" t="s">
        <v>53</v>
      </c>
      <c r="B5" s="0" t="n">
        <v>11</v>
      </c>
    </row>
    <row r="6" customFormat="false" ht="15" hidden="false" customHeight="false" outlineLevel="0" collapsed="false">
      <c r="A6" s="0" t="s">
        <v>94</v>
      </c>
      <c r="B6" s="0" t="n">
        <v>4</v>
      </c>
    </row>
    <row r="7" customFormat="false" ht="15" hidden="false" customHeight="false" outlineLevel="0" collapsed="false">
      <c r="A7" s="0" t="s">
        <v>74</v>
      </c>
      <c r="B7" s="0" t="n">
        <v>5</v>
      </c>
    </row>
    <row r="8" customFormat="false" ht="15" hidden="false" customHeight="false" outlineLevel="0" collapsed="false">
      <c r="A8" s="0" t="s">
        <v>192</v>
      </c>
      <c r="B8" s="0" t="n">
        <v>5</v>
      </c>
    </row>
    <row r="11" customFormat="false" ht="15" hidden="false" customHeight="false" outlineLevel="0" collapsed="false">
      <c r="A11" s="21" t="s">
        <v>520</v>
      </c>
    </row>
    <row r="12" customFormat="false" ht="15" hidden="false" customHeight="false" outlineLevel="0" collapsed="false">
      <c r="A12" s="16" t="s">
        <v>521</v>
      </c>
      <c r="B12" s="16" t="s">
        <v>519</v>
      </c>
    </row>
    <row r="13" customFormat="false" ht="15" hidden="false" customHeight="false" outlineLevel="0" collapsed="false">
      <c r="A13" s="0" t="s">
        <v>44</v>
      </c>
      <c r="B13" s="0" t="n">
        <v>25</v>
      </c>
    </row>
    <row r="16" customFormat="false" ht="15" hidden="false" customHeight="false" outlineLevel="0" collapsed="false">
      <c r="A16" s="21" t="s">
        <v>522</v>
      </c>
    </row>
    <row r="17" customFormat="false" ht="15" hidden="false" customHeight="false" outlineLevel="0" collapsed="false">
      <c r="A17" s="16" t="s">
        <v>17</v>
      </c>
      <c r="B17" s="16" t="s">
        <v>519</v>
      </c>
    </row>
    <row r="18" customFormat="false" ht="15" hidden="false" customHeight="false" outlineLevel="0" collapsed="false">
      <c r="A18" s="0" t="s">
        <v>173</v>
      </c>
      <c r="B18" s="0" t="n">
        <v>9</v>
      </c>
    </row>
    <row r="19" customFormat="false" ht="15" hidden="false" customHeight="false" outlineLevel="0" collapsed="false">
      <c r="A19" s="0" t="s">
        <v>347</v>
      </c>
      <c r="B19" s="0" t="n">
        <v>6</v>
      </c>
    </row>
    <row r="20" customFormat="false" ht="15" hidden="false" customHeight="false" outlineLevel="0" collapsed="false">
      <c r="A20" s="0" t="s">
        <v>76</v>
      </c>
      <c r="B20" s="0" t="n">
        <v>4</v>
      </c>
    </row>
    <row r="21" customFormat="false" ht="15" hidden="false" customHeight="false" outlineLevel="0" collapsed="false">
      <c r="A21" s="0" t="s">
        <v>54</v>
      </c>
      <c r="B21" s="0" t="n">
        <v>3</v>
      </c>
    </row>
    <row r="22" customFormat="false" ht="15" hidden="false" customHeight="false" outlineLevel="0" collapsed="false">
      <c r="A22" s="0" t="s">
        <v>470</v>
      </c>
      <c r="B22" s="0" t="n">
        <v>2</v>
      </c>
    </row>
    <row r="23" customFormat="false" ht="15" hidden="false" customHeight="false" outlineLevel="0" collapsed="false">
      <c r="A23" s="0" t="s">
        <v>152</v>
      </c>
      <c r="B23" s="0" t="n">
        <v>1</v>
      </c>
    </row>
    <row r="26" customFormat="false" ht="15" hidden="false" customHeight="false" outlineLevel="0" collapsed="false">
      <c r="A26" s="21" t="s">
        <v>523</v>
      </c>
    </row>
    <row r="27" customFormat="false" ht="15" hidden="false" customHeight="false" outlineLevel="0" collapsed="false">
      <c r="A27" s="16" t="s">
        <v>524</v>
      </c>
      <c r="B27" s="16" t="s">
        <v>0</v>
      </c>
      <c r="C27" s="16" t="s">
        <v>525</v>
      </c>
    </row>
    <row r="28" customFormat="false" ht="15" hidden="false" customHeight="false" outlineLevel="0" collapsed="false">
      <c r="A28" s="0" t="n">
        <v>1</v>
      </c>
      <c r="B28" s="0" t="str">
        <f aca="false">IFERROR(INDEX('Tier 1 - Priority Targets'!$A$2:$A$26,MATCH(LARGE('Tier 1 - Priority Targets'!$AL$2:$AL$26,1),'Tier 1 - Priority Targets'!$AL$2:$AL$26,0)),"")</f>
        <v>Schneider Electric</v>
      </c>
      <c r="C28" s="0" t="n">
        <f aca="false">IFERROR(INDEX('Tier 1 - Priority Targets'!$AC$2:$AC$26,MATCH(LARGE('Tier 1 - Priority Targets'!$AL$2:$AL$26,1),'Tier 1 - Priority Targets'!$AL$2:$AL$26,0)),"")</f>
        <v>20.5</v>
      </c>
    </row>
    <row r="29" customFormat="false" ht="15" hidden="false" customHeight="false" outlineLevel="0" collapsed="false">
      <c r="A29" s="0" t="n">
        <v>2</v>
      </c>
      <c r="B29" s="0" t="str">
        <f aca="false">IFERROR(INDEX('Tier 1 - Priority Targets'!$A$2:$A$26,MATCH(LARGE('Tier 1 - Priority Targets'!$AL$2:$AL$26,2),'Tier 1 - Priority Targets'!$AL$2:$AL$26,0)),"")</f>
        <v>Booz Allen Hamilton</v>
      </c>
      <c r="C29" s="0" t="n">
        <f aca="false">IFERROR(INDEX('Tier 1 - Priority Targets'!$AC$2:$AC$26,MATCH(LARGE('Tier 1 - Priority Targets'!$AL$2:$AL$26,2),'Tier 1 - Priority Targets'!$AL$2:$AL$26,0)),"")</f>
        <v>20.5</v>
      </c>
    </row>
    <row r="30" customFormat="false" ht="15" hidden="false" customHeight="false" outlineLevel="0" collapsed="false">
      <c r="A30" s="0" t="n">
        <v>3</v>
      </c>
      <c r="B30" s="0" t="str">
        <f aca="false">IFERROR(INDEX('Tier 1 - Priority Targets'!$A$2:$A$26,MATCH(LARGE('Tier 1 - Priority Targets'!$AL$2:$AL$26,3),'Tier 1 - Priority Targets'!$AL$2:$AL$26,0)),"")</f>
        <v>Accenture</v>
      </c>
      <c r="C30" s="0" t="n">
        <f aca="false">IFERROR(INDEX('Tier 1 - Priority Targets'!$AC$2:$AC$26,MATCH(LARGE('Tier 1 - Priority Targets'!$AL$2:$AL$26,3),'Tier 1 - Priority Targets'!$AL$2:$AL$26,0)),"")</f>
        <v>20.5</v>
      </c>
    </row>
    <row r="31" customFormat="false" ht="15" hidden="false" customHeight="false" outlineLevel="0" collapsed="false">
      <c r="A31" s="0" t="n">
        <v>4</v>
      </c>
      <c r="B31" s="0" t="str">
        <f aca="false">IFERROR(INDEX('Tier 1 - Priority Targets'!$A$2:$A$26,MATCH(LARGE('Tier 1 - Priority Targets'!$AL$2:$AL$26,4),'Tier 1 - Priority Targets'!$AL$2:$AL$26,0)),"")</f>
        <v>EY</v>
      </c>
      <c r="C31" s="0" t="n">
        <f aca="false">IFERROR(INDEX('Tier 1 - Priority Targets'!$AC$2:$AC$26,MATCH(LARGE('Tier 1 - Priority Targets'!$AL$2:$AL$26,4),'Tier 1 - Priority Targets'!$AL$2:$AL$26,0)),"")</f>
        <v>20.3</v>
      </c>
    </row>
    <row r="32" customFormat="false" ht="15" hidden="false" customHeight="false" outlineLevel="0" collapsed="false">
      <c r="A32" s="0" t="n">
        <v>5</v>
      </c>
      <c r="B32" s="0" t="str">
        <f aca="false">IFERROR(INDEX('Tier 1 - Priority Targets'!$A$2:$A$26,MATCH(LARGE('Tier 1 - Priority Targets'!$AL$2:$AL$26,5),'Tier 1 - Priority Targets'!$AL$2:$AL$26,0)),"")</f>
        <v>Honeywell OT Cybersecurity</v>
      </c>
      <c r="C32" s="0" t="n">
        <f aca="false">IFERROR(INDEX('Tier 1 - Priority Targets'!$AC$2:$AC$26,MATCH(LARGE('Tier 1 - Priority Targets'!$AL$2:$AL$26,5),'Tier 1 - Priority Targets'!$AL$2:$AL$26,0)),"")</f>
        <v>18.5</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34"/>
    <col collapsed="false" customWidth="true" hidden="false" outlineLevel="0" max="5" min="3" style="0" width="20"/>
  </cols>
  <sheetData>
    <row r="1" customFormat="false" ht="23.85" hidden="false" customHeight="false" outlineLevel="0" collapsed="false">
      <c r="A1" s="1" t="s">
        <v>0</v>
      </c>
      <c r="B1" s="1" t="s">
        <v>526</v>
      </c>
      <c r="C1" s="1" t="s">
        <v>527</v>
      </c>
      <c r="D1" s="1" t="s">
        <v>528</v>
      </c>
      <c r="E1" s="1" t="s">
        <v>529</v>
      </c>
    </row>
    <row r="2" customFormat="false" ht="15" hidden="false" customHeight="false" outlineLevel="0" collapsed="false">
      <c r="A2" s="6" t="s">
        <v>38</v>
      </c>
      <c r="B2" s="6" t="s">
        <v>530</v>
      </c>
      <c r="C2" s="6" t="str">
        <f aca="false">HYPERLINK("https://www.linkedin.com/jobs/search/?keywords="&amp;_xlfn.ENCODEURL(A2)&amp;"%20"&amp;_xlfn.ENCODEURL(B2),"Search LinkedIn")</f>
        <v>Search LinkedIn</v>
      </c>
      <c r="D2" s="6" t="str">
        <f aca="false">HYPERLINK("https://www.indeed.com/jobs?q="&amp;_xlfn.ENCODEURL(B2)&amp;"+"&amp;_xlfn.ENCODEURL(A2),"Search Indeed")</f>
        <v>Search Indeed</v>
      </c>
      <c r="E2" s="6" t="str">
        <f aca="false">HYPERLINK("https://www.google.com/search?q="&amp;_xlfn.ENCODEURL(A2)&amp;"+"&amp;_xlfn.ENCODEURL(B2)&amp;"+jobs","Search Google Jobs")</f>
        <v>Search Google Jobs</v>
      </c>
    </row>
    <row r="3" customFormat="false" ht="15" hidden="false" customHeight="false" outlineLevel="0" collapsed="false">
      <c r="A3" s="2" t="s">
        <v>65</v>
      </c>
      <c r="B3" s="2" t="s">
        <v>531</v>
      </c>
      <c r="C3" s="2" t="str">
        <f aca="false">HYPERLINK("https://www.linkedin.com/jobs/search/?keywords="&amp;_xlfn.ENCODEURL(A3)&amp;"%20"&amp;_xlfn.ENCODEURL(B3),"Search LinkedIn")</f>
        <v>Search LinkedIn</v>
      </c>
      <c r="D3" s="2" t="str">
        <f aca="false">HYPERLINK("https://www.indeed.com/jobs?q="&amp;_xlfn.ENCODEURL(B3)&amp;"+"&amp;_xlfn.ENCODEURL(A3),"Search Indeed")</f>
        <v>Search Indeed</v>
      </c>
      <c r="E3" s="2" t="str">
        <f aca="false">HYPERLINK("https://www.google.com/search?q="&amp;_xlfn.ENCODEURL(A3)&amp;"+"&amp;_xlfn.ENCODEURL(B3)&amp;"+jobs","Search Google Jobs")</f>
        <v>Search Google Jobs</v>
      </c>
    </row>
    <row r="4" customFormat="false" ht="15" hidden="false" customHeight="false" outlineLevel="0" collapsed="false">
      <c r="A4" s="6" t="s">
        <v>86</v>
      </c>
      <c r="B4" s="6" t="s">
        <v>532</v>
      </c>
      <c r="C4" s="6" t="str">
        <f aca="false">HYPERLINK("https://www.linkedin.com/jobs/search/?keywords="&amp;_xlfn.ENCODEURL(A4)&amp;"%20"&amp;_xlfn.ENCODEURL(B4),"Search LinkedIn")</f>
        <v>Search LinkedIn</v>
      </c>
      <c r="D4" s="6" t="str">
        <f aca="false">HYPERLINK("https://www.indeed.com/jobs?q="&amp;_xlfn.ENCODEURL(B4)&amp;"+"&amp;_xlfn.ENCODEURL(A4),"Search Indeed")</f>
        <v>Search Indeed</v>
      </c>
      <c r="E4" s="6" t="str">
        <f aca="false">HYPERLINK("https://www.google.com/search?q="&amp;_xlfn.ENCODEURL(A4)&amp;"+"&amp;_xlfn.ENCODEURL(B4)&amp;"+jobs","Search Google Jobs")</f>
        <v>Search Google Jobs</v>
      </c>
    </row>
    <row r="5" customFormat="false" ht="15" hidden="false" customHeight="false" outlineLevel="0" collapsed="false">
      <c r="A5" s="2" t="s">
        <v>105</v>
      </c>
      <c r="B5" s="2" t="s">
        <v>530</v>
      </c>
      <c r="C5" s="2" t="str">
        <f aca="false">HYPERLINK("https://www.linkedin.com/jobs/search/?keywords="&amp;_xlfn.ENCODEURL(A5)&amp;"%20"&amp;_xlfn.ENCODEURL(B5),"Search LinkedIn")</f>
        <v>Search LinkedIn</v>
      </c>
      <c r="D5" s="2" t="str">
        <f aca="false">HYPERLINK("https://www.indeed.com/jobs?q="&amp;_xlfn.ENCODEURL(B5)&amp;"+"&amp;_xlfn.ENCODEURL(A5),"Search Indeed")</f>
        <v>Search Indeed</v>
      </c>
      <c r="E5" s="2" t="str">
        <f aca="false">HYPERLINK("https://www.google.com/search?q="&amp;_xlfn.ENCODEURL(A5)&amp;"+"&amp;_xlfn.ENCODEURL(B5)&amp;"+jobs","Search Google Jobs")</f>
        <v>Search Google Jobs</v>
      </c>
    </row>
    <row r="6" customFormat="false" ht="15" hidden="false" customHeight="false" outlineLevel="0" collapsed="false">
      <c r="A6" s="6" t="s">
        <v>120</v>
      </c>
      <c r="B6" s="6" t="s">
        <v>533</v>
      </c>
      <c r="C6" s="6" t="str">
        <f aca="false">HYPERLINK("https://www.linkedin.com/jobs/search/?keywords="&amp;_xlfn.ENCODEURL(A6)&amp;"%20"&amp;_xlfn.ENCODEURL(B6),"Search LinkedIn")</f>
        <v>Search LinkedIn</v>
      </c>
      <c r="D6" s="6" t="str">
        <f aca="false">HYPERLINK("https://www.indeed.com/jobs?q="&amp;_xlfn.ENCODEURL(B6)&amp;"+"&amp;_xlfn.ENCODEURL(A6),"Search Indeed")</f>
        <v>Search Indeed</v>
      </c>
      <c r="E6" s="6" t="str">
        <f aca="false">HYPERLINK("https://www.google.com/search?q="&amp;_xlfn.ENCODEURL(A6)&amp;"+"&amp;_xlfn.ENCODEURL(B6)&amp;"+jobs","Search Google Jobs")</f>
        <v>Search Google Jobs</v>
      </c>
    </row>
    <row r="7" customFormat="false" ht="15" hidden="false" customHeight="false" outlineLevel="0" collapsed="false">
      <c r="A7" s="2" t="s">
        <v>141</v>
      </c>
      <c r="B7" s="2" t="s">
        <v>534</v>
      </c>
      <c r="C7" s="2" t="str">
        <f aca="false">HYPERLINK("https://www.linkedin.com/jobs/search/?keywords="&amp;_xlfn.ENCODEURL(A7)&amp;"%20"&amp;_xlfn.ENCODEURL(B7),"Search LinkedIn")</f>
        <v>Search LinkedIn</v>
      </c>
      <c r="D7" s="2" t="str">
        <f aca="false">HYPERLINK("https://www.indeed.com/jobs?q="&amp;_xlfn.ENCODEURL(B7)&amp;"+"&amp;_xlfn.ENCODEURL(A7),"Search Indeed")</f>
        <v>Search Indeed</v>
      </c>
      <c r="E7" s="2" t="str">
        <f aca="false">HYPERLINK("https://www.google.com/search?q="&amp;_xlfn.ENCODEURL(A7)&amp;"+"&amp;_xlfn.ENCODEURL(B7)&amp;"+jobs","Search Google Jobs")</f>
        <v>Search Google Jobs</v>
      </c>
    </row>
    <row r="8" customFormat="false" ht="15" hidden="false" customHeight="false" outlineLevel="0" collapsed="false">
      <c r="A8" s="6" t="s">
        <v>162</v>
      </c>
      <c r="B8" s="6" t="s">
        <v>535</v>
      </c>
      <c r="C8" s="6" t="str">
        <f aca="false">HYPERLINK("https://www.linkedin.com/jobs/search/?keywords="&amp;_xlfn.ENCODEURL(A8)&amp;"%20"&amp;_xlfn.ENCODEURL(B8),"Search LinkedIn")</f>
        <v>Search LinkedIn</v>
      </c>
      <c r="D8" s="6" t="str">
        <f aca="false">HYPERLINK("https://www.indeed.com/jobs?q="&amp;_xlfn.ENCODEURL(B8)&amp;"+"&amp;_xlfn.ENCODEURL(A8),"Search Indeed")</f>
        <v>Search Indeed</v>
      </c>
      <c r="E8" s="6" t="str">
        <f aca="false">HYPERLINK("https://www.google.com/search?q="&amp;_xlfn.ENCODEURL(A8)&amp;"+"&amp;_xlfn.ENCODEURL(B8)&amp;"+jobs","Search Google Jobs")</f>
        <v>Search Google Jobs</v>
      </c>
    </row>
    <row r="9" customFormat="false" ht="15" hidden="false" customHeight="false" outlineLevel="0" collapsed="false">
      <c r="A9" s="2" t="s">
        <v>182</v>
      </c>
      <c r="B9" s="2" t="s">
        <v>535</v>
      </c>
      <c r="C9" s="2" t="str">
        <f aca="false">HYPERLINK("https://www.linkedin.com/jobs/search/?keywords="&amp;_xlfn.ENCODEURL(A9)&amp;"%20"&amp;_xlfn.ENCODEURL(B9),"Search LinkedIn")</f>
        <v>Search LinkedIn</v>
      </c>
      <c r="D9" s="2" t="str">
        <f aca="false">HYPERLINK("https://www.indeed.com/jobs?q="&amp;_xlfn.ENCODEURL(B9)&amp;"+"&amp;_xlfn.ENCODEURL(A9),"Search Indeed")</f>
        <v>Search Indeed</v>
      </c>
      <c r="E9" s="2" t="str">
        <f aca="false">HYPERLINK("https://www.google.com/search?q="&amp;_xlfn.ENCODEURL(A9)&amp;"+"&amp;_xlfn.ENCODEURL(B9)&amp;"+jobs","Search Google Jobs")</f>
        <v>Search Google Jobs</v>
      </c>
    </row>
    <row r="10" customFormat="false" ht="15" hidden="false" customHeight="false" outlineLevel="0" collapsed="false">
      <c r="A10" s="6" t="s">
        <v>200</v>
      </c>
      <c r="B10" s="6" t="s">
        <v>535</v>
      </c>
      <c r="C10" s="6" t="str">
        <f aca="false">HYPERLINK("https://www.linkedin.com/jobs/search/?keywords="&amp;_xlfn.ENCODEURL(A10)&amp;"%20"&amp;_xlfn.ENCODEURL(B10),"Search LinkedIn")</f>
        <v>Search LinkedIn</v>
      </c>
      <c r="D10" s="6" t="str">
        <f aca="false">HYPERLINK("https://www.indeed.com/jobs?q="&amp;_xlfn.ENCODEURL(B10)&amp;"+"&amp;_xlfn.ENCODEURL(A10),"Search Indeed")</f>
        <v>Search Indeed</v>
      </c>
      <c r="E10" s="6" t="str">
        <f aca="false">HYPERLINK("https://www.google.com/search?q="&amp;_xlfn.ENCODEURL(A10)&amp;"+"&amp;_xlfn.ENCODEURL(B10)&amp;"+jobs","Search Google Jobs")</f>
        <v>Search Google Jobs</v>
      </c>
    </row>
    <row r="11" customFormat="false" ht="15" hidden="false" customHeight="false" outlineLevel="0" collapsed="false">
      <c r="A11" s="2" t="s">
        <v>218</v>
      </c>
      <c r="B11" s="2" t="s">
        <v>536</v>
      </c>
      <c r="C11" s="2" t="str">
        <f aca="false">HYPERLINK("https://www.linkedin.com/jobs/search/?keywords="&amp;_xlfn.ENCODEURL(A11)&amp;"%20"&amp;_xlfn.ENCODEURL(B11),"Search LinkedIn")</f>
        <v>Search LinkedIn</v>
      </c>
      <c r="D11" s="2" t="str">
        <f aca="false">HYPERLINK("https://www.indeed.com/jobs?q="&amp;_xlfn.ENCODEURL(B11)&amp;"+"&amp;_xlfn.ENCODEURL(A11),"Search Indeed")</f>
        <v>Search Indeed</v>
      </c>
      <c r="E11" s="2" t="str">
        <f aca="false">HYPERLINK("https://www.google.com/search?q="&amp;_xlfn.ENCODEURL(A11)&amp;"+"&amp;_xlfn.ENCODEURL(B11)&amp;"+jobs","Search Google Jobs")</f>
        <v>Search Google Jobs</v>
      </c>
    </row>
    <row r="12" customFormat="false" ht="15" hidden="false" customHeight="false" outlineLevel="0" collapsed="false">
      <c r="A12" s="6" t="s">
        <v>238</v>
      </c>
      <c r="B12" s="6" t="s">
        <v>535</v>
      </c>
      <c r="C12" s="6" t="str">
        <f aca="false">HYPERLINK("https://www.linkedin.com/jobs/search/?keywords="&amp;_xlfn.ENCODEURL(A12)&amp;"%20"&amp;_xlfn.ENCODEURL(B12),"Search LinkedIn")</f>
        <v>Search LinkedIn</v>
      </c>
      <c r="D12" s="6" t="str">
        <f aca="false">HYPERLINK("https://www.indeed.com/jobs?q="&amp;_xlfn.ENCODEURL(B12)&amp;"+"&amp;_xlfn.ENCODEURL(A12),"Search Indeed")</f>
        <v>Search Indeed</v>
      </c>
      <c r="E12" s="6" t="str">
        <f aca="false">HYPERLINK("https://www.google.com/search?q="&amp;_xlfn.ENCODEURL(A12)&amp;"+"&amp;_xlfn.ENCODEURL(B12)&amp;"+jobs","Search Google Jobs")</f>
        <v>Search Google Jobs</v>
      </c>
    </row>
    <row r="13" customFormat="false" ht="15" hidden="false" customHeight="false" outlineLevel="0" collapsed="false">
      <c r="A13" s="2" t="s">
        <v>255</v>
      </c>
      <c r="B13" s="2" t="s">
        <v>537</v>
      </c>
      <c r="C13" s="2" t="str">
        <f aca="false">HYPERLINK("https://www.linkedin.com/jobs/search/?keywords="&amp;_xlfn.ENCODEURL(A13)&amp;"%20"&amp;_xlfn.ENCODEURL(B13),"Search LinkedIn")</f>
        <v>Search LinkedIn</v>
      </c>
      <c r="D13" s="2" t="str">
        <f aca="false">HYPERLINK("https://www.indeed.com/jobs?q="&amp;_xlfn.ENCODEURL(B13)&amp;"+"&amp;_xlfn.ENCODEURL(A13),"Search Indeed")</f>
        <v>Search Indeed</v>
      </c>
      <c r="E13" s="2" t="str">
        <f aca="false">HYPERLINK("https://www.google.com/search?q="&amp;_xlfn.ENCODEURL(A13)&amp;"+"&amp;_xlfn.ENCODEURL(B13)&amp;"+jobs","Search Google Jobs")</f>
        <v>Search Google Jobs</v>
      </c>
    </row>
    <row r="14" customFormat="false" ht="15" hidden="false" customHeight="false" outlineLevel="0" collapsed="false">
      <c r="A14" s="6" t="s">
        <v>271</v>
      </c>
      <c r="B14" s="6" t="s">
        <v>538</v>
      </c>
      <c r="C14" s="6" t="str">
        <f aca="false">HYPERLINK("https://www.linkedin.com/jobs/search/?keywords="&amp;_xlfn.ENCODEURL(A14)&amp;"%20"&amp;_xlfn.ENCODEURL(B14),"Search LinkedIn")</f>
        <v>Search LinkedIn</v>
      </c>
      <c r="D14" s="6" t="str">
        <f aca="false">HYPERLINK("https://www.indeed.com/jobs?q="&amp;_xlfn.ENCODEURL(B14)&amp;"+"&amp;_xlfn.ENCODEURL(A14),"Search Indeed")</f>
        <v>Search Indeed</v>
      </c>
      <c r="E14" s="6" t="str">
        <f aca="false">HYPERLINK("https://www.google.com/search?q="&amp;_xlfn.ENCODEURL(A14)&amp;"+"&amp;_xlfn.ENCODEURL(B14)&amp;"+jobs","Search Google Jobs")</f>
        <v>Search Google Jobs</v>
      </c>
    </row>
    <row r="15" customFormat="false" ht="15" hidden="false" customHeight="false" outlineLevel="0" collapsed="false">
      <c r="A15" s="2" t="s">
        <v>287</v>
      </c>
      <c r="B15" s="2" t="s">
        <v>539</v>
      </c>
      <c r="C15" s="2" t="str">
        <f aca="false">HYPERLINK("https://www.linkedin.com/jobs/search/?keywords="&amp;_xlfn.ENCODEURL(A15)&amp;"%20"&amp;_xlfn.ENCODEURL(B15),"Search LinkedIn")</f>
        <v>Search LinkedIn</v>
      </c>
      <c r="D15" s="2" t="str">
        <f aca="false">HYPERLINK("https://www.indeed.com/jobs?q="&amp;_xlfn.ENCODEURL(B15)&amp;"+"&amp;_xlfn.ENCODEURL(A15),"Search Indeed")</f>
        <v>Search Indeed</v>
      </c>
      <c r="E15" s="2" t="str">
        <f aca="false">HYPERLINK("https://www.google.com/search?q="&amp;_xlfn.ENCODEURL(A15)&amp;"+"&amp;_xlfn.ENCODEURL(B15)&amp;"+jobs","Search Google Jobs")</f>
        <v>Search Google Jobs</v>
      </c>
    </row>
    <row r="16" customFormat="false" ht="23.85" hidden="false" customHeight="false" outlineLevel="0" collapsed="false">
      <c r="A16" s="6" t="s">
        <v>301</v>
      </c>
      <c r="B16" s="6" t="s">
        <v>540</v>
      </c>
      <c r="C16" s="6" t="str">
        <f aca="false">HYPERLINK("https://www.linkedin.com/jobs/search/?keywords="&amp;_xlfn.ENCODEURL(A16)&amp;"%20"&amp;_xlfn.ENCODEURL(B16),"Search LinkedIn")</f>
        <v>Search LinkedIn</v>
      </c>
      <c r="D16" s="6" t="str">
        <f aca="false">HYPERLINK("https://www.indeed.com/jobs?q="&amp;_xlfn.ENCODEURL(B16)&amp;"+"&amp;_xlfn.ENCODEURL(A16),"Search Indeed")</f>
        <v>Search Indeed</v>
      </c>
      <c r="E16" s="6" t="str">
        <f aca="false">HYPERLINK("https://www.google.com/search?q="&amp;_xlfn.ENCODEURL(A16)&amp;"+"&amp;_xlfn.ENCODEURL(B16)&amp;"+jobs","Search Google Jobs")</f>
        <v>Search Google Jobs</v>
      </c>
    </row>
    <row r="17" customFormat="false" ht="15" hidden="false" customHeight="false" outlineLevel="0" collapsed="false">
      <c r="A17" s="2" t="s">
        <v>315</v>
      </c>
      <c r="B17" s="2" t="s">
        <v>541</v>
      </c>
      <c r="C17" s="2" t="str">
        <f aca="false">HYPERLINK("https://www.linkedin.com/jobs/search/?keywords="&amp;_xlfn.ENCODEURL(A17)&amp;"%20"&amp;_xlfn.ENCODEURL(B17),"Search LinkedIn")</f>
        <v>Search LinkedIn</v>
      </c>
      <c r="D17" s="2" t="str">
        <f aca="false">HYPERLINK("https://www.indeed.com/jobs?q="&amp;_xlfn.ENCODEURL(B17)&amp;"+"&amp;_xlfn.ENCODEURL(A17),"Search Indeed")</f>
        <v>Search Indeed</v>
      </c>
      <c r="E17" s="2" t="str">
        <f aca="false">HYPERLINK("https://www.google.com/search?q="&amp;_xlfn.ENCODEURL(A17)&amp;"+"&amp;_xlfn.ENCODEURL(B17)&amp;"+jobs","Search Google Jobs")</f>
        <v>Search Google Jobs</v>
      </c>
    </row>
    <row r="18" customFormat="false" ht="15" hidden="false" customHeight="false" outlineLevel="0" collapsed="false">
      <c r="A18" s="6" t="s">
        <v>335</v>
      </c>
      <c r="B18" s="6" t="s">
        <v>542</v>
      </c>
      <c r="C18" s="6" t="str">
        <f aca="false">HYPERLINK("https://www.linkedin.com/jobs/search/?keywords="&amp;_xlfn.ENCODEURL(A18)&amp;"%20"&amp;_xlfn.ENCODEURL(B18),"Search LinkedIn")</f>
        <v>Search LinkedIn</v>
      </c>
      <c r="D18" s="6" t="str">
        <f aca="false">HYPERLINK("https://www.indeed.com/jobs?q="&amp;_xlfn.ENCODEURL(B18)&amp;"+"&amp;_xlfn.ENCODEURL(A18),"Search Indeed")</f>
        <v>Search Indeed</v>
      </c>
      <c r="E18" s="6" t="str">
        <f aca="false">HYPERLINK("https://www.google.com/search?q="&amp;_xlfn.ENCODEURL(A18)&amp;"+"&amp;_xlfn.ENCODEURL(B18)&amp;"+jobs","Search Google Jobs")</f>
        <v>Search Google Jobs</v>
      </c>
    </row>
    <row r="19" customFormat="false" ht="23.85" hidden="false" customHeight="false" outlineLevel="0" collapsed="false">
      <c r="A19" s="2" t="s">
        <v>357</v>
      </c>
      <c r="B19" s="2" t="s">
        <v>543</v>
      </c>
      <c r="C19" s="2" t="str">
        <f aca="false">HYPERLINK("https://www.linkedin.com/jobs/search/?keywords="&amp;_xlfn.ENCODEURL(A19)&amp;"%20"&amp;_xlfn.ENCODEURL(B19),"Search LinkedIn")</f>
        <v>Search LinkedIn</v>
      </c>
      <c r="D19" s="2" t="str">
        <f aca="false">HYPERLINK("https://www.indeed.com/jobs?q="&amp;_xlfn.ENCODEURL(B19)&amp;"+"&amp;_xlfn.ENCODEURL(A19),"Search Indeed")</f>
        <v>Search Indeed</v>
      </c>
      <c r="E19" s="2" t="str">
        <f aca="false">HYPERLINK("https://www.google.com/search?q="&amp;_xlfn.ENCODEURL(A19)&amp;"+"&amp;_xlfn.ENCODEURL(B19)&amp;"+jobs","Search Google Jobs")</f>
        <v>Search Google Jobs</v>
      </c>
    </row>
    <row r="20" customFormat="false" ht="23.85" hidden="false" customHeight="false" outlineLevel="0" collapsed="false">
      <c r="A20" s="6" t="s">
        <v>376</v>
      </c>
      <c r="B20" s="6" t="s">
        <v>544</v>
      </c>
      <c r="C20" s="6" t="str">
        <f aca="false">HYPERLINK("https://www.linkedin.com/jobs/search/?keywords="&amp;_xlfn.ENCODEURL(A20)&amp;"%20"&amp;_xlfn.ENCODEURL(B20),"Search LinkedIn")</f>
        <v>Search LinkedIn</v>
      </c>
      <c r="D20" s="6" t="str">
        <f aca="false">HYPERLINK("https://www.indeed.com/jobs?q="&amp;_xlfn.ENCODEURL(B20)&amp;"+"&amp;_xlfn.ENCODEURL(A20),"Search Indeed")</f>
        <v>Search Indeed</v>
      </c>
      <c r="E20" s="6" t="str">
        <f aca="false">HYPERLINK("https://www.google.com/search?q="&amp;_xlfn.ENCODEURL(A20)&amp;"+"&amp;_xlfn.ENCODEURL(B20)&amp;"+jobs","Search Google Jobs")</f>
        <v>Search Google Jobs</v>
      </c>
    </row>
    <row r="21" customFormat="false" ht="15" hidden="false" customHeight="false" outlineLevel="0" collapsed="false">
      <c r="A21" s="2" t="s">
        <v>395</v>
      </c>
      <c r="B21" s="2" t="s">
        <v>541</v>
      </c>
      <c r="C21" s="2" t="str">
        <f aca="false">HYPERLINK("https://www.linkedin.com/jobs/search/?keywords="&amp;_xlfn.ENCODEURL(A21)&amp;"%20"&amp;_xlfn.ENCODEURL(B21),"Search LinkedIn")</f>
        <v>Search LinkedIn</v>
      </c>
      <c r="D21" s="2" t="str">
        <f aca="false">HYPERLINK("https://www.indeed.com/jobs?q="&amp;_xlfn.ENCODEURL(B21)&amp;"+"&amp;_xlfn.ENCODEURL(A21),"Search Indeed")</f>
        <v>Search Indeed</v>
      </c>
      <c r="E21" s="2" t="str">
        <f aca="false">HYPERLINK("https://www.google.com/search?q="&amp;_xlfn.ENCODEURL(A21)&amp;"+"&amp;_xlfn.ENCODEURL(B21)&amp;"+jobs","Search Google Jobs")</f>
        <v>Search Google Jobs</v>
      </c>
    </row>
    <row r="22" customFormat="false" ht="15" hidden="false" customHeight="false" outlineLevel="0" collapsed="false">
      <c r="A22" s="6" t="s">
        <v>416</v>
      </c>
      <c r="B22" s="6" t="s">
        <v>545</v>
      </c>
      <c r="C22" s="6" t="str">
        <f aca="false">HYPERLINK("https://www.linkedin.com/jobs/search/?keywords="&amp;_xlfn.ENCODEURL(A22)&amp;"%20"&amp;_xlfn.ENCODEURL(B22),"Search LinkedIn")</f>
        <v>Search LinkedIn</v>
      </c>
      <c r="D22" s="6" t="str">
        <f aca="false">HYPERLINK("https://www.indeed.com/jobs?q="&amp;_xlfn.ENCODEURL(B22)&amp;"+"&amp;_xlfn.ENCODEURL(A22),"Search Indeed")</f>
        <v>Search Indeed</v>
      </c>
      <c r="E22" s="6" t="str">
        <f aca="false">HYPERLINK("https://www.google.com/search?q="&amp;_xlfn.ENCODEURL(A22)&amp;"+"&amp;_xlfn.ENCODEURL(B22)&amp;"+jobs","Search Google Jobs")</f>
        <v>Search Google Jobs</v>
      </c>
    </row>
    <row r="23" customFormat="false" ht="15" hidden="false" customHeight="false" outlineLevel="0" collapsed="false">
      <c r="A23" s="2" t="s">
        <v>431</v>
      </c>
      <c r="B23" s="2" t="s">
        <v>546</v>
      </c>
      <c r="C23" s="2" t="str">
        <f aca="false">HYPERLINK("https://www.linkedin.com/jobs/search/?keywords="&amp;_xlfn.ENCODEURL(A23)&amp;"%20"&amp;_xlfn.ENCODEURL(B23),"Search LinkedIn")</f>
        <v>Search LinkedIn</v>
      </c>
      <c r="D23" s="2" t="str">
        <f aca="false">HYPERLINK("https://www.indeed.com/jobs?q="&amp;_xlfn.ENCODEURL(B23)&amp;"+"&amp;_xlfn.ENCODEURL(A23),"Search Indeed")</f>
        <v>Search Indeed</v>
      </c>
      <c r="E23" s="2" t="str">
        <f aca="false">HYPERLINK("https://www.google.com/search?q="&amp;_xlfn.ENCODEURL(A23)&amp;"+"&amp;_xlfn.ENCODEURL(B23)&amp;"+jobs","Search Google Jobs")</f>
        <v>Search Google Jobs</v>
      </c>
    </row>
    <row r="24" customFormat="false" ht="15" hidden="false" customHeight="false" outlineLevel="0" collapsed="false">
      <c r="A24" s="6" t="s">
        <v>445</v>
      </c>
      <c r="B24" s="6" t="s">
        <v>547</v>
      </c>
      <c r="C24" s="6" t="str">
        <f aca="false">HYPERLINK("https://www.linkedin.com/jobs/search/?keywords="&amp;_xlfn.ENCODEURL(A24)&amp;"%20"&amp;_xlfn.ENCODEURL(B24),"Search LinkedIn")</f>
        <v>Search LinkedIn</v>
      </c>
      <c r="D24" s="6" t="str">
        <f aca="false">HYPERLINK("https://www.indeed.com/jobs?q="&amp;_xlfn.ENCODEURL(B24)&amp;"+"&amp;_xlfn.ENCODEURL(A24),"Search Indeed")</f>
        <v>Search Indeed</v>
      </c>
      <c r="E24" s="6" t="str">
        <f aca="false">HYPERLINK("https://www.google.com/search?q="&amp;_xlfn.ENCODEURL(A24)&amp;"+"&amp;_xlfn.ENCODEURL(B24)&amp;"+jobs","Search Google Jobs")</f>
        <v>Search Google Jobs</v>
      </c>
    </row>
    <row r="25" customFormat="false" ht="23.85" hidden="false" customHeight="false" outlineLevel="0" collapsed="false">
      <c r="A25" s="2" t="s">
        <v>458</v>
      </c>
      <c r="B25" s="2" t="s">
        <v>548</v>
      </c>
      <c r="C25" s="2" t="str">
        <f aca="false">HYPERLINK("https://www.linkedin.com/jobs/search/?keywords="&amp;_xlfn.ENCODEURL(A25)&amp;"%20"&amp;_xlfn.ENCODEURL(B25),"Search LinkedIn")</f>
        <v>Search LinkedIn</v>
      </c>
      <c r="D25" s="2" t="str">
        <f aca="false">HYPERLINK("https://www.indeed.com/jobs?q="&amp;_xlfn.ENCODEURL(B25)&amp;"+"&amp;_xlfn.ENCODEURL(A25),"Search Indeed")</f>
        <v>Search Indeed</v>
      </c>
      <c r="E25" s="2" t="str">
        <f aca="false">HYPERLINK("https://www.google.com/search?q="&amp;_xlfn.ENCODEURL(A25)&amp;"+"&amp;_xlfn.ENCODEURL(B25)&amp;"+jobs","Search Google Jobs")</f>
        <v>Search Google Jobs</v>
      </c>
    </row>
    <row r="26" customFormat="false" ht="15" hidden="false" customHeight="false" outlineLevel="0" collapsed="false">
      <c r="A26" s="6" t="s">
        <v>479</v>
      </c>
      <c r="B26" s="6" t="s">
        <v>549</v>
      </c>
      <c r="C26" s="6" t="str">
        <f aca="false">HYPERLINK("https://www.linkedin.com/jobs/search/?keywords="&amp;_xlfn.ENCODEURL(A26)&amp;"%20"&amp;_xlfn.ENCODEURL(B26),"Search LinkedIn")</f>
        <v>Search LinkedIn</v>
      </c>
      <c r="D26" s="6" t="str">
        <f aca="false">HYPERLINK("https://www.indeed.com/jobs?q="&amp;_xlfn.ENCODEURL(B26)&amp;"+"&amp;_xlfn.ENCODEURL(A26),"Search Indeed")</f>
        <v>Search Indeed</v>
      </c>
      <c r="E26" s="6" t="str">
        <f aca="false">HYPERLINK("https://www.google.com/search?q="&amp;_xlfn.ENCODEURL(A26)&amp;"+"&amp;_xlfn.ENCODEURL(B26)&amp;"+jobs","Search Google Jobs")</f>
        <v>Search Google Jobs</v>
      </c>
    </row>
    <row r="28" customFormat="false" ht="30" hidden="false" customHeight="true" outlineLevel="0" collapsed="false">
      <c r="A28" s="22" t="s">
        <v>550</v>
      </c>
      <c r="B28" s="22"/>
      <c r="C28" s="22"/>
      <c r="D28" s="22"/>
      <c r="E28" s="22"/>
    </row>
  </sheetData>
  <autoFilter ref="A1:E26"/>
  <mergeCells count="1">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60"/>
  </cols>
  <sheetData>
    <row r="1" customFormat="false" ht="15" hidden="false" customHeight="false" outlineLevel="0" collapsed="false">
      <c r="A1" s="1" t="s">
        <v>551</v>
      </c>
      <c r="B1" s="1" t="s">
        <v>25</v>
      </c>
    </row>
    <row r="2" customFormat="false" ht="23.85" hidden="false" customHeight="false" outlineLevel="0" collapsed="false">
      <c r="A2" s="6" t="s">
        <v>38</v>
      </c>
      <c r="B2" s="6" t="s">
        <v>62</v>
      </c>
    </row>
    <row r="3" customFormat="false" ht="23.85" hidden="false" customHeight="false" outlineLevel="0" collapsed="false">
      <c r="A3" s="2" t="s">
        <v>65</v>
      </c>
      <c r="B3" s="2" t="s">
        <v>84</v>
      </c>
    </row>
    <row r="4" customFormat="false" ht="15" hidden="false" customHeight="false" outlineLevel="0" collapsed="false">
      <c r="A4" s="6" t="s">
        <v>86</v>
      </c>
      <c r="B4" s="6" t="s">
        <v>103</v>
      </c>
    </row>
    <row r="5" customFormat="false" ht="15" hidden="false" customHeight="false" outlineLevel="0" collapsed="false">
      <c r="A5" s="2" t="s">
        <v>105</v>
      </c>
      <c r="B5" s="2" t="s">
        <v>118</v>
      </c>
    </row>
    <row r="6" customFormat="false" ht="15" hidden="false" customHeight="false" outlineLevel="0" collapsed="false">
      <c r="A6" s="6" t="s">
        <v>120</v>
      </c>
      <c r="B6" s="6" t="s">
        <v>139</v>
      </c>
    </row>
    <row r="7" customFormat="false" ht="15" hidden="false" customHeight="false" outlineLevel="0" collapsed="false">
      <c r="A7" s="2" t="s">
        <v>141</v>
      </c>
      <c r="B7" s="2" t="s">
        <v>160</v>
      </c>
    </row>
    <row r="8" customFormat="false" ht="15" hidden="false" customHeight="false" outlineLevel="0" collapsed="false">
      <c r="A8" s="6" t="s">
        <v>162</v>
      </c>
      <c r="B8" s="6" t="s">
        <v>180</v>
      </c>
    </row>
    <row r="9" customFormat="false" ht="15" hidden="false" customHeight="false" outlineLevel="0" collapsed="false">
      <c r="A9" s="2" t="s">
        <v>182</v>
      </c>
      <c r="B9" s="2" t="s">
        <v>198</v>
      </c>
    </row>
    <row r="10" customFormat="false" ht="15" hidden="false" customHeight="false" outlineLevel="0" collapsed="false">
      <c r="A10" s="6" t="s">
        <v>200</v>
      </c>
      <c r="B10" s="6" t="s">
        <v>216</v>
      </c>
    </row>
    <row r="11" customFormat="false" ht="15" hidden="false" customHeight="false" outlineLevel="0" collapsed="false">
      <c r="A11" s="2" t="s">
        <v>218</v>
      </c>
      <c r="B11" s="2" t="s">
        <v>236</v>
      </c>
    </row>
    <row r="12" customFormat="false" ht="15" hidden="false" customHeight="false" outlineLevel="0" collapsed="false">
      <c r="A12" s="6" t="s">
        <v>238</v>
      </c>
      <c r="B12" s="6" t="s">
        <v>253</v>
      </c>
    </row>
    <row r="13" customFormat="false" ht="15" hidden="false" customHeight="false" outlineLevel="0" collapsed="false">
      <c r="A13" s="2" t="s">
        <v>255</v>
      </c>
      <c r="B13" s="2" t="s">
        <v>269</v>
      </c>
    </row>
    <row r="14" customFormat="false" ht="15" hidden="false" customHeight="false" outlineLevel="0" collapsed="false">
      <c r="A14" s="6" t="s">
        <v>271</v>
      </c>
      <c r="B14" s="6" t="s">
        <v>285</v>
      </c>
    </row>
    <row r="15" customFormat="false" ht="15" hidden="false" customHeight="false" outlineLevel="0" collapsed="false">
      <c r="A15" s="2" t="s">
        <v>287</v>
      </c>
      <c r="B15" s="2" t="s">
        <v>299</v>
      </c>
    </row>
    <row r="16" customFormat="false" ht="15" hidden="false" customHeight="false" outlineLevel="0" collapsed="false">
      <c r="A16" s="6" t="s">
        <v>301</v>
      </c>
      <c r="B16" s="6" t="s">
        <v>313</v>
      </c>
    </row>
    <row r="17" customFormat="false" ht="15" hidden="false" customHeight="false" outlineLevel="0" collapsed="false">
      <c r="A17" s="2" t="s">
        <v>315</v>
      </c>
      <c r="B17" s="2" t="s">
        <v>333</v>
      </c>
    </row>
    <row r="18" customFormat="false" ht="23.85" hidden="false" customHeight="false" outlineLevel="0" collapsed="false">
      <c r="A18" s="6" t="s">
        <v>335</v>
      </c>
      <c r="B18" s="6" t="s">
        <v>355</v>
      </c>
    </row>
    <row r="19" customFormat="false" ht="23.85" hidden="false" customHeight="false" outlineLevel="0" collapsed="false">
      <c r="A19" s="2" t="s">
        <v>357</v>
      </c>
      <c r="B19" s="2" t="s">
        <v>374</v>
      </c>
    </row>
    <row r="20" customFormat="false" ht="15" hidden="false" customHeight="false" outlineLevel="0" collapsed="false">
      <c r="A20" s="6" t="s">
        <v>376</v>
      </c>
      <c r="B20" s="6" t="s">
        <v>393</v>
      </c>
    </row>
    <row r="21" customFormat="false" ht="15" hidden="false" customHeight="false" outlineLevel="0" collapsed="false">
      <c r="A21" s="2" t="s">
        <v>395</v>
      </c>
      <c r="B21" s="2" t="s">
        <v>414</v>
      </c>
    </row>
    <row r="22" customFormat="false" ht="15" hidden="false" customHeight="false" outlineLevel="0" collapsed="false">
      <c r="A22" s="6" t="s">
        <v>416</v>
      </c>
      <c r="B22" s="6" t="s">
        <v>429</v>
      </c>
    </row>
    <row r="23" customFormat="false" ht="23.85" hidden="false" customHeight="false" outlineLevel="0" collapsed="false">
      <c r="A23" s="2" t="s">
        <v>431</v>
      </c>
      <c r="B23" s="2" t="s">
        <v>443</v>
      </c>
    </row>
    <row r="24" customFormat="false" ht="23.85" hidden="false" customHeight="false" outlineLevel="0" collapsed="false">
      <c r="A24" s="6" t="s">
        <v>445</v>
      </c>
      <c r="B24" s="6" t="s">
        <v>456</v>
      </c>
    </row>
    <row r="25" customFormat="false" ht="15" hidden="false" customHeight="false" outlineLevel="0" collapsed="false">
      <c r="A25" s="2" t="s">
        <v>458</v>
      </c>
      <c r="B25" s="2" t="s">
        <v>477</v>
      </c>
    </row>
    <row r="26" customFormat="false" ht="15" hidden="false" customHeight="false" outlineLevel="0" collapsed="false">
      <c r="A26" s="6" t="s">
        <v>479</v>
      </c>
      <c r="B26" s="6" t="s">
        <v>496</v>
      </c>
    </row>
  </sheetData>
  <autoFilter ref="A1:B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40"/>
    <col collapsed="false" customWidth="true" hidden="false" outlineLevel="0" max="4" min="4" style="0" width="30"/>
  </cols>
  <sheetData>
    <row r="1" customFormat="false" ht="15" hidden="false" customHeight="false" outlineLevel="0" collapsed="false">
      <c r="A1" s="1" t="s">
        <v>0</v>
      </c>
      <c r="B1" s="1" t="s">
        <v>22</v>
      </c>
      <c r="C1" s="1" t="s">
        <v>20</v>
      </c>
      <c r="D1" s="1" t="s">
        <v>17</v>
      </c>
    </row>
    <row r="2" customFormat="false" ht="35.05" hidden="false" customHeight="false" outlineLevel="0" collapsed="false">
      <c r="A2" s="6" t="s">
        <v>38</v>
      </c>
      <c r="B2" s="6" t="s">
        <v>59</v>
      </c>
      <c r="C2" s="6" t="s">
        <v>57</v>
      </c>
      <c r="D2" s="6" t="s">
        <v>54</v>
      </c>
    </row>
    <row r="3" customFormat="false" ht="35.05" hidden="false" customHeight="false" outlineLevel="0" collapsed="false">
      <c r="A3" s="2" t="s">
        <v>65</v>
      </c>
      <c r="B3" s="2" t="s">
        <v>81</v>
      </c>
      <c r="C3" s="2" t="s">
        <v>79</v>
      </c>
      <c r="D3" s="2" t="s">
        <v>76</v>
      </c>
    </row>
    <row r="4" customFormat="false" ht="23.85" hidden="false" customHeight="false" outlineLevel="0" collapsed="false">
      <c r="A4" s="6" t="s">
        <v>86</v>
      </c>
      <c r="B4" s="6" t="s">
        <v>100</v>
      </c>
      <c r="C4" s="6" t="s">
        <v>98</v>
      </c>
      <c r="D4" s="6" t="s">
        <v>54</v>
      </c>
    </row>
    <row r="5" customFormat="false" ht="23.85" hidden="false" customHeight="false" outlineLevel="0" collapsed="false">
      <c r="A5" s="2" t="s">
        <v>105</v>
      </c>
      <c r="B5" s="2" t="s">
        <v>100</v>
      </c>
      <c r="C5" s="2" t="s">
        <v>115</v>
      </c>
      <c r="D5" s="2" t="s">
        <v>54</v>
      </c>
    </row>
    <row r="6" customFormat="false" ht="57.45" hidden="false" customHeight="false" outlineLevel="0" collapsed="false">
      <c r="A6" s="6" t="s">
        <v>120</v>
      </c>
      <c r="B6" s="6" t="s">
        <v>136</v>
      </c>
      <c r="C6" s="6" t="s">
        <v>134</v>
      </c>
      <c r="D6" s="6" t="s">
        <v>76</v>
      </c>
    </row>
    <row r="7" customFormat="false" ht="68.65" hidden="false" customHeight="false" outlineLevel="0" collapsed="false">
      <c r="A7" s="2" t="s">
        <v>141</v>
      </c>
      <c r="B7" s="2" t="s">
        <v>157</v>
      </c>
      <c r="C7" s="2" t="s">
        <v>155</v>
      </c>
      <c r="D7" s="2" t="s">
        <v>152</v>
      </c>
    </row>
    <row r="8" customFormat="false" ht="23.85" hidden="false" customHeight="false" outlineLevel="0" collapsed="false">
      <c r="A8" s="6" t="s">
        <v>162</v>
      </c>
      <c r="B8" s="6" t="s">
        <v>100</v>
      </c>
      <c r="C8" s="6" t="s">
        <v>176</v>
      </c>
      <c r="D8" s="6" t="s">
        <v>173</v>
      </c>
    </row>
    <row r="9" customFormat="false" ht="23.85" hidden="false" customHeight="false" outlineLevel="0" collapsed="false">
      <c r="A9" s="2" t="s">
        <v>182</v>
      </c>
      <c r="B9" s="2" t="s">
        <v>100</v>
      </c>
      <c r="C9" s="2" t="s">
        <v>176</v>
      </c>
      <c r="D9" s="2" t="s">
        <v>173</v>
      </c>
    </row>
    <row r="10" customFormat="false" ht="23.85" hidden="false" customHeight="false" outlineLevel="0" collapsed="false">
      <c r="A10" s="6" t="s">
        <v>200</v>
      </c>
      <c r="B10" s="6" t="s">
        <v>100</v>
      </c>
      <c r="C10" s="6" t="s">
        <v>176</v>
      </c>
      <c r="D10" s="6" t="s">
        <v>173</v>
      </c>
    </row>
    <row r="11" customFormat="false" ht="23.85" hidden="false" customHeight="false" outlineLevel="0" collapsed="false">
      <c r="A11" s="2" t="s">
        <v>218</v>
      </c>
      <c r="B11" s="2" t="s">
        <v>100</v>
      </c>
      <c r="C11" s="2" t="s">
        <v>232</v>
      </c>
      <c r="D11" s="2" t="s">
        <v>173</v>
      </c>
    </row>
    <row r="12" customFormat="false" ht="23.85" hidden="false" customHeight="false" outlineLevel="0" collapsed="false">
      <c r="A12" s="6" t="s">
        <v>238</v>
      </c>
      <c r="B12" s="6" t="s">
        <v>100</v>
      </c>
      <c r="C12" s="6" t="s">
        <v>249</v>
      </c>
      <c r="D12" s="6" t="s">
        <v>173</v>
      </c>
    </row>
    <row r="13" customFormat="false" ht="23.85" hidden="false" customHeight="false" outlineLevel="0" collapsed="false">
      <c r="A13" s="2" t="s">
        <v>255</v>
      </c>
      <c r="B13" s="2" t="s">
        <v>100</v>
      </c>
      <c r="C13" s="2" t="s">
        <v>232</v>
      </c>
      <c r="D13" s="2" t="s">
        <v>173</v>
      </c>
    </row>
    <row r="14" customFormat="false" ht="23.85" hidden="false" customHeight="false" outlineLevel="0" collapsed="false">
      <c r="A14" s="6" t="s">
        <v>271</v>
      </c>
      <c r="B14" s="6" t="s">
        <v>100</v>
      </c>
      <c r="C14" s="6" t="s">
        <v>232</v>
      </c>
      <c r="D14" s="6" t="s">
        <v>173</v>
      </c>
    </row>
    <row r="15" customFormat="false" ht="23.85" hidden="false" customHeight="false" outlineLevel="0" collapsed="false">
      <c r="A15" s="2" t="s">
        <v>287</v>
      </c>
      <c r="B15" s="2" t="s">
        <v>100</v>
      </c>
      <c r="C15" s="2" t="s">
        <v>232</v>
      </c>
      <c r="D15" s="2" t="s">
        <v>173</v>
      </c>
    </row>
    <row r="16" customFormat="false" ht="23.85" hidden="false" customHeight="false" outlineLevel="0" collapsed="false">
      <c r="A16" s="6" t="s">
        <v>301</v>
      </c>
      <c r="B16" s="6" t="s">
        <v>100</v>
      </c>
      <c r="C16" s="6" t="s">
        <v>232</v>
      </c>
      <c r="D16" s="6" t="s">
        <v>173</v>
      </c>
    </row>
    <row r="17" customFormat="false" ht="23.85" hidden="false" customHeight="false" outlineLevel="0" collapsed="false">
      <c r="A17" s="2" t="s">
        <v>315</v>
      </c>
      <c r="B17" s="2" t="s">
        <v>330</v>
      </c>
      <c r="C17" s="2" t="s">
        <v>328</v>
      </c>
      <c r="D17" s="2" t="s">
        <v>76</v>
      </c>
    </row>
    <row r="18" customFormat="false" ht="46.25" hidden="false" customHeight="false" outlineLevel="0" collapsed="false">
      <c r="A18" s="6" t="s">
        <v>335</v>
      </c>
      <c r="B18" s="6" t="s">
        <v>352</v>
      </c>
      <c r="C18" s="6" t="s">
        <v>350</v>
      </c>
      <c r="D18" s="6" t="s">
        <v>347</v>
      </c>
    </row>
    <row r="19" customFormat="false" ht="35.05" hidden="false" customHeight="false" outlineLevel="0" collapsed="false">
      <c r="A19" s="2" t="s">
        <v>357</v>
      </c>
      <c r="B19" s="2" t="s">
        <v>100</v>
      </c>
      <c r="C19" s="2" t="s">
        <v>370</v>
      </c>
      <c r="D19" s="2" t="s">
        <v>347</v>
      </c>
    </row>
    <row r="20" customFormat="false" ht="23.85" hidden="false" customHeight="false" outlineLevel="0" collapsed="false">
      <c r="A20" s="6" t="s">
        <v>376</v>
      </c>
      <c r="B20" s="6" t="s">
        <v>390</v>
      </c>
      <c r="C20" s="6" t="s">
        <v>388</v>
      </c>
      <c r="D20" s="6" t="s">
        <v>76</v>
      </c>
    </row>
    <row r="21" customFormat="false" ht="35.05" hidden="false" customHeight="false" outlineLevel="0" collapsed="false">
      <c r="A21" s="2" t="s">
        <v>395</v>
      </c>
      <c r="B21" s="2" t="s">
        <v>411</v>
      </c>
      <c r="C21" s="2" t="s">
        <v>409</v>
      </c>
      <c r="D21" s="2" t="s">
        <v>347</v>
      </c>
    </row>
    <row r="22" customFormat="false" ht="23.85" hidden="false" customHeight="false" outlineLevel="0" collapsed="false">
      <c r="A22" s="6" t="s">
        <v>416</v>
      </c>
      <c r="B22" s="6" t="s">
        <v>100</v>
      </c>
      <c r="C22" s="6" t="s">
        <v>176</v>
      </c>
      <c r="D22" s="6" t="s">
        <v>347</v>
      </c>
    </row>
    <row r="23" customFormat="false" ht="23.85" hidden="false" customHeight="false" outlineLevel="0" collapsed="false">
      <c r="A23" s="2" t="s">
        <v>431</v>
      </c>
      <c r="B23" s="2" t="s">
        <v>100</v>
      </c>
      <c r="C23" s="2" t="s">
        <v>176</v>
      </c>
      <c r="D23" s="2" t="s">
        <v>347</v>
      </c>
    </row>
    <row r="24" customFormat="false" ht="35.05" hidden="false" customHeight="false" outlineLevel="0" collapsed="false">
      <c r="A24" s="6" t="s">
        <v>445</v>
      </c>
      <c r="B24" s="6" t="s">
        <v>411</v>
      </c>
      <c r="C24" s="6" t="s">
        <v>176</v>
      </c>
      <c r="D24" s="6" t="s">
        <v>347</v>
      </c>
    </row>
    <row r="25" customFormat="false" ht="23.85" hidden="false" customHeight="false" outlineLevel="0" collapsed="false">
      <c r="A25" s="2" t="s">
        <v>458</v>
      </c>
      <c r="B25" s="2" t="s">
        <v>100</v>
      </c>
      <c r="C25" s="2" t="s">
        <v>473</v>
      </c>
      <c r="D25" s="2" t="s">
        <v>470</v>
      </c>
    </row>
    <row r="26" customFormat="false" ht="23.85" hidden="false" customHeight="false" outlineLevel="0" collapsed="false">
      <c r="A26" s="6" t="s">
        <v>479</v>
      </c>
      <c r="B26" s="6" t="s">
        <v>100</v>
      </c>
      <c r="C26" s="6" t="s">
        <v>492</v>
      </c>
      <c r="D26" s="6" t="s">
        <v>470</v>
      </c>
    </row>
  </sheetData>
  <autoFilter ref="A1:D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0"/>
    <col collapsed="false" customWidth="true" hidden="false" outlineLevel="0" max="3" min="3" style="0" width="24"/>
    <col collapsed="false" customWidth="true" hidden="false" outlineLevel="0" max="4" min="4" style="0" width="12"/>
    <col collapsed="false" customWidth="true" hidden="false" outlineLevel="0" max="5" min="5" style="0" width="60"/>
    <col collapsed="false" customWidth="true" hidden="false" outlineLevel="0" max="6" min="6" style="0" width="34"/>
  </cols>
  <sheetData>
    <row r="1" customFormat="false" ht="15" hidden="false" customHeight="false" outlineLevel="0" collapsed="false">
      <c r="A1" s="1" t="s">
        <v>552</v>
      </c>
      <c r="B1" s="1" t="s">
        <v>553</v>
      </c>
      <c r="C1" s="1" t="s">
        <v>554</v>
      </c>
      <c r="D1" s="1" t="s">
        <v>555</v>
      </c>
      <c r="E1" s="1" t="s">
        <v>556</v>
      </c>
      <c r="F1" s="1" t="s">
        <v>557</v>
      </c>
    </row>
    <row r="2" customFormat="false" ht="23.85" hidden="false" customHeight="false" outlineLevel="0" collapsed="false">
      <c r="A2" s="6" t="s">
        <v>558</v>
      </c>
      <c r="B2" s="6" t="s">
        <v>559</v>
      </c>
      <c r="C2" s="6" t="s">
        <v>560</v>
      </c>
      <c r="D2" s="6" t="s">
        <v>561</v>
      </c>
      <c r="E2" s="6" t="s">
        <v>562</v>
      </c>
      <c r="F2" s="6" t="s">
        <v>563</v>
      </c>
    </row>
    <row r="3" customFormat="false" ht="23.85" hidden="false" customHeight="false" outlineLevel="0" collapsed="false">
      <c r="A3" s="2" t="s">
        <v>564</v>
      </c>
      <c r="B3" s="2" t="s">
        <v>565</v>
      </c>
      <c r="C3" s="2" t="s">
        <v>566</v>
      </c>
      <c r="D3" s="2" t="s">
        <v>561</v>
      </c>
      <c r="E3" s="2" t="s">
        <v>567</v>
      </c>
      <c r="F3" s="2" t="s">
        <v>568</v>
      </c>
    </row>
  </sheetData>
  <autoFilter ref="A1:F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44"/>
    <col collapsed="false" customWidth="true" hidden="false" outlineLevel="0" max="5" min="4" style="0" width="40"/>
  </cols>
  <sheetData>
    <row r="1" customFormat="false" ht="15" hidden="false" customHeight="false" outlineLevel="0" collapsed="false">
      <c r="A1" s="1" t="s">
        <v>0</v>
      </c>
      <c r="B1" s="1" t="s">
        <v>569</v>
      </c>
      <c r="C1" s="1" t="s">
        <v>570</v>
      </c>
      <c r="D1" s="1" t="s">
        <v>571</v>
      </c>
      <c r="E1" s="1" t="s">
        <v>572</v>
      </c>
    </row>
    <row r="2" customFormat="false" ht="35.05" hidden="false" customHeight="false" outlineLevel="0" collapsed="false">
      <c r="A2" s="6" t="s">
        <v>38</v>
      </c>
      <c r="B2" s="6" t="s">
        <v>573</v>
      </c>
      <c r="C2" s="6" t="s">
        <v>573</v>
      </c>
      <c r="D2" s="6" t="s">
        <v>573</v>
      </c>
      <c r="E2" s="6"/>
    </row>
    <row r="3" customFormat="false" ht="35.05" hidden="false" customHeight="false" outlineLevel="0" collapsed="false">
      <c r="A3" s="2" t="s">
        <v>65</v>
      </c>
      <c r="B3" s="2" t="s">
        <v>573</v>
      </c>
      <c r="C3" s="2" t="s">
        <v>573</v>
      </c>
      <c r="D3" s="2" t="s">
        <v>573</v>
      </c>
      <c r="E3" s="2"/>
    </row>
    <row r="4" customFormat="false" ht="35.05" hidden="false" customHeight="false" outlineLevel="0" collapsed="false">
      <c r="A4" s="6" t="s">
        <v>86</v>
      </c>
      <c r="B4" s="6" t="s">
        <v>573</v>
      </c>
      <c r="C4" s="6" t="s">
        <v>573</v>
      </c>
      <c r="D4" s="6" t="s">
        <v>573</v>
      </c>
      <c r="E4" s="6"/>
    </row>
    <row r="5" customFormat="false" ht="35.05" hidden="false" customHeight="false" outlineLevel="0" collapsed="false">
      <c r="A5" s="2" t="s">
        <v>105</v>
      </c>
      <c r="B5" s="2" t="s">
        <v>573</v>
      </c>
      <c r="C5" s="2" t="s">
        <v>573</v>
      </c>
      <c r="D5" s="2" t="s">
        <v>573</v>
      </c>
      <c r="E5" s="2"/>
    </row>
    <row r="6" customFormat="false" ht="35.05" hidden="false" customHeight="false" outlineLevel="0" collapsed="false">
      <c r="A6" s="6" t="s">
        <v>120</v>
      </c>
      <c r="B6" s="6" t="s">
        <v>573</v>
      </c>
      <c r="C6" s="6" t="s">
        <v>573</v>
      </c>
      <c r="D6" s="6" t="s">
        <v>573</v>
      </c>
      <c r="E6" s="6"/>
    </row>
    <row r="7" customFormat="false" ht="35.05" hidden="false" customHeight="false" outlineLevel="0" collapsed="false">
      <c r="A7" s="2" t="s">
        <v>141</v>
      </c>
      <c r="B7" s="2" t="s">
        <v>573</v>
      </c>
      <c r="C7" s="2" t="s">
        <v>573</v>
      </c>
      <c r="D7" s="2" t="s">
        <v>573</v>
      </c>
      <c r="E7" s="2"/>
    </row>
    <row r="8" customFormat="false" ht="35.05" hidden="false" customHeight="false" outlineLevel="0" collapsed="false">
      <c r="A8" s="6" t="s">
        <v>162</v>
      </c>
      <c r="B8" s="6" t="s">
        <v>573</v>
      </c>
      <c r="C8" s="6" t="s">
        <v>573</v>
      </c>
      <c r="D8" s="6" t="s">
        <v>573</v>
      </c>
      <c r="E8" s="6"/>
    </row>
    <row r="9" customFormat="false" ht="35.05" hidden="false" customHeight="false" outlineLevel="0" collapsed="false">
      <c r="A9" s="2" t="s">
        <v>182</v>
      </c>
      <c r="B9" s="2" t="s">
        <v>573</v>
      </c>
      <c r="C9" s="2" t="s">
        <v>573</v>
      </c>
      <c r="D9" s="2" t="s">
        <v>573</v>
      </c>
      <c r="E9" s="2"/>
    </row>
    <row r="10" customFormat="false" ht="35.05" hidden="false" customHeight="false" outlineLevel="0" collapsed="false">
      <c r="A10" s="6" t="s">
        <v>200</v>
      </c>
      <c r="B10" s="6" t="s">
        <v>573</v>
      </c>
      <c r="C10" s="6" t="s">
        <v>573</v>
      </c>
      <c r="D10" s="6" t="s">
        <v>573</v>
      </c>
      <c r="E10" s="6"/>
    </row>
    <row r="11" customFormat="false" ht="35.05" hidden="false" customHeight="false" outlineLevel="0" collapsed="false">
      <c r="A11" s="2" t="s">
        <v>218</v>
      </c>
      <c r="B11" s="2" t="s">
        <v>573</v>
      </c>
      <c r="C11" s="2" t="s">
        <v>573</v>
      </c>
      <c r="D11" s="2" t="s">
        <v>573</v>
      </c>
      <c r="E11" s="2"/>
    </row>
    <row r="12" customFormat="false" ht="35.05" hidden="false" customHeight="false" outlineLevel="0" collapsed="false">
      <c r="A12" s="6" t="s">
        <v>238</v>
      </c>
      <c r="B12" s="6" t="s">
        <v>573</v>
      </c>
      <c r="C12" s="6" t="s">
        <v>573</v>
      </c>
      <c r="D12" s="6" t="s">
        <v>573</v>
      </c>
      <c r="E12" s="6"/>
    </row>
    <row r="13" customFormat="false" ht="35.05" hidden="false" customHeight="false" outlineLevel="0" collapsed="false">
      <c r="A13" s="2" t="s">
        <v>255</v>
      </c>
      <c r="B13" s="2" t="s">
        <v>573</v>
      </c>
      <c r="C13" s="2" t="s">
        <v>573</v>
      </c>
      <c r="D13" s="2" t="s">
        <v>573</v>
      </c>
      <c r="E13" s="2"/>
    </row>
    <row r="14" customFormat="false" ht="35.05" hidden="false" customHeight="false" outlineLevel="0" collapsed="false">
      <c r="A14" s="6" t="s">
        <v>271</v>
      </c>
      <c r="B14" s="6" t="s">
        <v>573</v>
      </c>
      <c r="C14" s="6" t="s">
        <v>573</v>
      </c>
      <c r="D14" s="6" t="s">
        <v>573</v>
      </c>
      <c r="E14" s="6"/>
    </row>
    <row r="15" customFormat="false" ht="35.05" hidden="false" customHeight="false" outlineLevel="0" collapsed="false">
      <c r="A15" s="2" t="s">
        <v>287</v>
      </c>
      <c r="B15" s="2" t="s">
        <v>573</v>
      </c>
      <c r="C15" s="2" t="s">
        <v>573</v>
      </c>
      <c r="D15" s="2" t="s">
        <v>573</v>
      </c>
      <c r="E15" s="2"/>
    </row>
    <row r="16" customFormat="false" ht="35.05" hidden="false" customHeight="false" outlineLevel="0" collapsed="false">
      <c r="A16" s="6" t="s">
        <v>301</v>
      </c>
      <c r="B16" s="6" t="s">
        <v>573</v>
      </c>
      <c r="C16" s="6" t="s">
        <v>573</v>
      </c>
      <c r="D16" s="6" t="s">
        <v>573</v>
      </c>
      <c r="E16" s="6"/>
    </row>
    <row r="17" customFormat="false" ht="68.65" hidden="false" customHeight="false" outlineLevel="0" collapsed="false">
      <c r="A17" s="2" t="s">
        <v>315</v>
      </c>
      <c r="B17" s="2" t="s">
        <v>574</v>
      </c>
      <c r="C17" s="2" t="s">
        <v>575</v>
      </c>
      <c r="D17" s="2" t="s">
        <v>576</v>
      </c>
      <c r="E17" s="2" t="s">
        <v>577</v>
      </c>
    </row>
    <row r="18" customFormat="false" ht="35.05" hidden="false" customHeight="false" outlineLevel="0" collapsed="false">
      <c r="A18" s="6" t="s">
        <v>335</v>
      </c>
      <c r="B18" s="6" t="s">
        <v>573</v>
      </c>
      <c r="C18" s="6" t="s">
        <v>573</v>
      </c>
      <c r="D18" s="6" t="s">
        <v>573</v>
      </c>
      <c r="E18" s="6"/>
    </row>
    <row r="19" customFormat="false" ht="68.65" hidden="false" customHeight="false" outlineLevel="0" collapsed="false">
      <c r="A19" s="2" t="s">
        <v>357</v>
      </c>
      <c r="B19" s="2" t="s">
        <v>574</v>
      </c>
      <c r="C19" s="2" t="s">
        <v>578</v>
      </c>
      <c r="D19" s="2" t="s">
        <v>579</v>
      </c>
      <c r="E19" s="2" t="s">
        <v>580</v>
      </c>
    </row>
    <row r="20" customFormat="false" ht="35.05" hidden="false" customHeight="false" outlineLevel="0" collapsed="false">
      <c r="A20" s="6" t="s">
        <v>376</v>
      </c>
      <c r="B20" s="6" t="s">
        <v>573</v>
      </c>
      <c r="C20" s="6" t="s">
        <v>573</v>
      </c>
      <c r="D20" s="6" t="s">
        <v>573</v>
      </c>
      <c r="E20" s="6"/>
    </row>
    <row r="21" customFormat="false" ht="35.05" hidden="false" customHeight="false" outlineLevel="0" collapsed="false">
      <c r="A21" s="2" t="s">
        <v>395</v>
      </c>
      <c r="B21" s="2" t="s">
        <v>573</v>
      </c>
      <c r="C21" s="2" t="s">
        <v>573</v>
      </c>
      <c r="D21" s="2" t="s">
        <v>573</v>
      </c>
      <c r="E21" s="2"/>
    </row>
    <row r="22" customFormat="false" ht="35.05" hidden="false" customHeight="false" outlineLevel="0" collapsed="false">
      <c r="A22" s="6" t="s">
        <v>416</v>
      </c>
      <c r="B22" s="6" t="s">
        <v>573</v>
      </c>
      <c r="C22" s="6" t="s">
        <v>573</v>
      </c>
      <c r="D22" s="6" t="s">
        <v>573</v>
      </c>
      <c r="E22" s="6"/>
    </row>
    <row r="23" customFormat="false" ht="35.05" hidden="false" customHeight="false" outlineLevel="0" collapsed="false">
      <c r="A23" s="2" t="s">
        <v>431</v>
      </c>
      <c r="B23" s="2" t="s">
        <v>573</v>
      </c>
      <c r="C23" s="2" t="s">
        <v>573</v>
      </c>
      <c r="D23" s="2" t="s">
        <v>573</v>
      </c>
      <c r="E23" s="2"/>
    </row>
    <row r="24" customFormat="false" ht="35.05" hidden="false" customHeight="false" outlineLevel="0" collapsed="false">
      <c r="A24" s="6" t="s">
        <v>445</v>
      </c>
      <c r="B24" s="6" t="s">
        <v>573</v>
      </c>
      <c r="C24" s="6" t="s">
        <v>573</v>
      </c>
      <c r="D24" s="6" t="s">
        <v>573</v>
      </c>
      <c r="E24" s="6"/>
    </row>
    <row r="25" customFormat="false" ht="35.05" hidden="false" customHeight="false" outlineLevel="0" collapsed="false">
      <c r="A25" s="2" t="s">
        <v>458</v>
      </c>
      <c r="B25" s="2" t="s">
        <v>573</v>
      </c>
      <c r="C25" s="2" t="s">
        <v>573</v>
      </c>
      <c r="D25" s="2" t="s">
        <v>573</v>
      </c>
      <c r="E25" s="2"/>
    </row>
    <row r="26" customFormat="false" ht="35.05" hidden="false" customHeight="false" outlineLevel="0" collapsed="false">
      <c r="A26" s="6" t="s">
        <v>479</v>
      </c>
      <c r="B26" s="6" t="s">
        <v>573</v>
      </c>
      <c r="C26" s="6" t="s">
        <v>573</v>
      </c>
      <c r="D26" s="6" t="s">
        <v>573</v>
      </c>
      <c r="E26" s="6"/>
    </row>
    <row r="28" customFormat="false" ht="39.75" hidden="false" customHeight="true" outlineLevel="0" collapsed="false">
      <c r="A28" s="22" t="s">
        <v>581</v>
      </c>
      <c r="B28" s="22"/>
      <c r="C28" s="22"/>
      <c r="D28" s="22"/>
      <c r="E28" s="22"/>
    </row>
  </sheetData>
  <autoFilter ref="A1:E26"/>
  <mergeCells count="1">
    <mergeCell ref="A28:E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2026-08-11T22:00:07Z</dcterms:created>
  <dc:creator>openpyxl</dc:creator>
  <dc:description/>
  <dc:language>en-US</dc:language>
  <cp:lastModifiedBy/>
  <dcterms:modified xsi:type="dcterms:W3CDTF">2026-08-11T22:01:13Z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